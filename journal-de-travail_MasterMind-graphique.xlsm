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01" codeName="{AE6600E7-7A62-396C-DE95-9942FA9DD81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FPA 2023-2025\1ère année\Curchod\P_Prog-Curchod\"/>
    </mc:Choice>
  </mc:AlternateContent>
  <xr:revisionPtr revIDLastSave="0" documentId="13_ncr:1_{80B93438-D62E-4D16-974D-D0F6FE4B51F2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C6" i="12"/>
  <c r="C5" i="12"/>
  <c r="B24" i="12"/>
  <c r="C23" i="12"/>
  <c r="C22" i="12"/>
  <c r="C21" i="12"/>
  <c r="C20" i="12"/>
  <c r="C19" i="12"/>
  <c r="B36" i="12"/>
  <c r="C35" i="12"/>
  <c r="C34" i="12"/>
  <c r="C33" i="12"/>
  <c r="C32" i="12"/>
  <c r="C31" i="12"/>
  <c r="C30" i="12"/>
  <c r="B48" i="12"/>
  <c r="C47" i="12"/>
  <c r="C46" i="12"/>
  <c r="C45" i="12"/>
  <c r="C44" i="12"/>
  <c r="C43" i="12"/>
  <c r="B60" i="12"/>
  <c r="C59" i="12"/>
  <c r="C58" i="12"/>
  <c r="C57" i="12"/>
  <c r="C56" i="12"/>
  <c r="C55" i="12"/>
  <c r="C54" i="12"/>
  <c r="B72" i="12"/>
  <c r="C71" i="12"/>
  <c r="C70" i="12"/>
  <c r="C69" i="12"/>
  <c r="C68" i="12"/>
  <c r="C67" i="12"/>
  <c r="C66" i="12"/>
  <c r="B84" i="12"/>
  <c r="C83" i="12"/>
  <c r="C82" i="12"/>
  <c r="C81" i="12"/>
  <c r="C80" i="12"/>
  <c r="C79" i="12"/>
  <c r="C78" i="12"/>
  <c r="C77" i="12"/>
  <c r="B96" i="12"/>
  <c r="C95" i="12"/>
  <c r="C94" i="12"/>
  <c r="C93" i="12"/>
  <c r="C92" i="12"/>
  <c r="C91" i="12"/>
  <c r="C90" i="12"/>
  <c r="C89" i="12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11" i="16"/>
  <c r="C11" i="15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C4" i="12"/>
  <c r="C16" i="12"/>
  <c r="C17" i="12"/>
  <c r="C18" i="12"/>
  <c r="C12" i="12"/>
  <c r="C24" i="12"/>
  <c r="C53" i="12"/>
  <c r="C60" i="12"/>
  <c r="C96" i="12"/>
  <c r="C52" i="12"/>
  <c r="C42" i="12"/>
  <c r="C41" i="12"/>
  <c r="C40" i="12"/>
  <c r="C84" i="12"/>
  <c r="C28" i="12"/>
  <c r="C65" i="12"/>
  <c r="C48" i="12"/>
  <c r="C29" i="12"/>
  <c r="C36" i="12"/>
  <c r="C88" i="12"/>
  <c r="C76" i="12"/>
  <c r="C64" i="12"/>
  <c r="C72" i="12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<sst xmlns="http://schemas.openxmlformats.org/spreadsheetml/2006/main" count="252" uniqueCount="68">
  <si>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</si>
  <si>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</si>
  <si>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</si>
  <si>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</si>
  <si>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</si>
  <si>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</si>
  <si>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</si>
  <si>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</si>
  <si>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</si>
  <si>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</si>
  <si>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</si>
  <si>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ETML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</si>
  <si>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</si>
  <si>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</si>
  <si>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</si>
  <si>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</si>
  <si>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</si>
  <si>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</si>
  <si>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</si>
  <si>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</si>
  <si>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</si>
  <si>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</si>
  <si>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</si>
  <si>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</si>
  <si>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</si>
  <si>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</si>
  <si>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</si>
  <si>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</si>
  <si>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</si>
  <si>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</si>
  <si>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</si>
  <si>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</si>
  <si>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</si>
  <si>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</si>
  <si>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</si>
  <si>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</si>
  <si>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</si>
  <si>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</si>
  <si>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</si>
  <si>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Date</t>
  </si>
  <si>
    <t>?</t>
  </si>
  <si>
    <t>I - 404</t>
  </si>
  <si>
    <t>FIN1</t>
  </si>
  <si>
    <t>Joël Pittet</t>
  </si>
  <si>
    <t>09.11.2023 au 11.02.2024</t>
  </si>
  <si>
    <t>Mettre code initial en méthode</t>
  </si>
  <si>
    <t>Mise en ordre du code en fonction</t>
  </si>
  <si>
    <t>Début WinForm Accueil + Début interface de jeu</t>
  </si>
  <si>
    <t>Mise en fonction des couleurs</t>
  </si>
  <si>
    <t>Changement de projet</t>
  </si>
  <si>
    <t>reconstitution du projet dans Winform .NET (Design)</t>
  </si>
  <si>
    <t>Création de la méthode pour afficher la couleur dans le bon label</t>
  </si>
  <si>
    <t>cases couleurs en affichage dynamique</t>
  </si>
  <si>
    <t>Création des labels de la zone d'essais</t>
  </si>
  <si>
    <t>affichage dynamique des labels</t>
  </si>
  <si>
    <t>remplissage des labels grace au bouton</t>
  </si>
  <si>
    <t>création du code secret</t>
  </si>
  <si>
    <t>check des bonnes couleurs aux bons endroits</t>
  </si>
  <si>
    <t xml:space="preserve">dooublons et bonne couleurs aux mauvais endroit bon </t>
  </si>
  <si>
    <t>form de victoire</t>
  </si>
  <si>
    <t>142h5min</t>
  </si>
  <si>
    <t>69h55min</t>
  </si>
  <si>
    <t>- 72h10min</t>
  </si>
  <si>
    <t>Ajout form de défaite et mise en forme</t>
  </si>
  <si>
    <t>Correction des bugs de doublons</t>
  </si>
  <si>
    <t>Correction des forms de victoire et défaite à cause du bouton "Rejouer"</t>
  </si>
  <si>
    <t>Cloture de la version finale</t>
  </si>
  <si>
    <t>Implémentation d'une version améliorée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</si>
</sst>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FFFACD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30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 applyProtection="1">
      <alignment horizontal="center" vertical="center" wrapText="1"/>
    </xf>
    <xf numFmtId="0" fontId="4" fillId="16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2" fillId="17" borderId="0" xfId="0" applyFont="1" applyFill="1"/>
    <xf numFmtId="0" fontId="0" fillId="17" borderId="11" xfId="0" applyFill="1" applyBorder="1"/>
    <xf numFmtId="0" fontId="2" fillId="17" borderId="27" xfId="0" applyFont="1" applyFill="1" applyBorder="1" applyProtection="1"/>
    <xf numFmtId="0" fontId="2" fillId="17" borderId="28" xfId="0" applyFont="1" applyFill="1" applyBorder="1" applyProtection="1"/>
    <xf numFmtId="0" fontId="2" fillId="17" borderId="28" xfId="0" applyFont="1" applyFill="1" applyBorder="1"/>
    <xf numFmtId="0" fontId="2" fillId="17" borderId="74" xfId="0" applyFont="1" applyFill="1" applyBorder="1"/>
    <xf numFmtId="0" fontId="2" fillId="17" borderId="79" xfId="0" applyFont="1" applyFill="1" applyBorder="1"/>
    <xf numFmtId="0" fontId="2" fillId="17" borderId="56" xfId="0" applyFont="1" applyFill="1" applyBorder="1"/>
    <xf numFmtId="0" fontId="2" fillId="17" borderId="19" xfId="0" applyFont="1" applyFill="1" applyBorder="1"/>
    <xf numFmtId="0" fontId="2" fillId="17" borderId="77" xfId="0" applyFont="1" applyFill="1" applyBorder="1"/>
    <xf numFmtId="0" fontId="2" fillId="17" borderId="54" xfId="0" applyFont="1" applyFill="1" applyBorder="1"/>
    <xf numFmtId="0" fontId="2" fillId="17" borderId="19" xfId="0" applyFont="1" applyFill="1" applyBorder="1" applyProtection="1"/>
    <xf numFmtId="0" fontId="2" fillId="17" borderId="18" xfId="0" applyFont="1" applyFill="1" applyBorder="1" applyProtection="1"/>
    <xf numFmtId="0" fontId="2" fillId="17" borderId="72" xfId="0" applyFont="1" applyFill="1" applyBorder="1"/>
    <xf numFmtId="0" fontId="0" fillId="0" borderId="11" xfId="0" applyFill="1" applyBorder="1"/>
    <xf numFmtId="0" fontId="2" fillId="0" borderId="0" xfId="0" applyFont="1" applyFill="1"/>
    <xf numFmtId="2" fontId="12" fillId="18" borderId="63" xfId="0" applyNumberFormat="1" applyFont="1" applyFill="1" applyBorder="1" applyAlignment="1">
      <alignment horizontal="center" vertical="center"/>
    </xf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0" fillId="9" borderId="0" xfId="0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14" fontId="21" fillId="0" borderId="5" xfId="0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</cellXfs>
  <cellStyles count="2">
    <cellStyle name="Lien hypertexte" xfId="1" builtinId="8"/>
    <cellStyle name="Normal" xfId="0" builtinId="0" customBuiltin="1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2"/>
              <c:pt idx="0">
                <c:v>Absences - imprévus </c:v>
              </c:pt>
              <c:pt idx="1">
                <c:v>Mettre code initial en méthode</c:v>
              </c:pt>
              <c:pt idx="2">
                <c:v>Début WinForm Accueil + Début interface de jeu</c:v>
              </c:pt>
              <c:pt idx="3">
                <c:v>Mise en fonction des couleurs</c:v>
              </c:pt>
              <c:pt idx="4">
                <c:v>Changement de projet</c:v>
              </c:pt>
              <c:pt idx="5">
                <c:v>Création des labels de la zone d'essais</c:v>
              </c:pt>
              <c:pt idx="6">
                <c:v>remplissage des labels grace au bouton</c:v>
              </c:pt>
              <c:pt idx="7">
                <c:v>création du code secret</c:v>
              </c:pt>
              <c:pt idx="8">
                <c:v>check des bonnes couleurs aux bons endroits</c:v>
              </c:pt>
              <c:pt idx="9">
                <c:v>dooublons et bonne couleurs aux mauvais endroit bon </c:v>
              </c:pt>
              <c:pt idx="10">
                <c:v>form de victoire</c:v>
              </c:pt>
            </c:strLit>
          </c:cat>
          <c:val>
            <c:numLit>
              <c:formatCode>General</c:formatCode>
              <c:ptCount val="12"/>
              <c:pt idx="0">
                <c:v>12.920000076293945</c:v>
              </c:pt>
              <c:pt idx="1">
                <c:v>12.920000076293945</c:v>
              </c:pt>
              <c:pt idx="2">
                <c:v>12.920000076293945</c:v>
              </c:pt>
              <c:pt idx="3">
                <c:v>12.920000076293945</c:v>
              </c:pt>
              <c:pt idx="4">
                <c:v>12.920000076293945</c:v>
              </c:pt>
              <c:pt idx="5">
                <c:v>12.920000076293945</c:v>
              </c:pt>
              <c:pt idx="6">
                <c:v>12.920000076293945</c:v>
              </c:pt>
              <c:pt idx="7">
                <c:v>12.920000076293945</c:v>
              </c:pt>
              <c:pt idx="8">
                <c:v>12.920000076293945</c:v>
              </c:pt>
              <c:pt idx="9">
                <c:v>12.920000076293945</c:v>
              </c:pt>
              <c:pt idx="10">
                <c:v>12.920000076293945</c:v>
              </c:pt>
              <c:pt idx="1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12"/>
              <c:pt idx="0">
                <c:v>5</c:v>
              </c:pt>
              <c:pt idx="1">
                <c:v>8</c:v>
              </c:pt>
              <c:pt idx="2">
                <c:v>8</c:v>
              </c:pt>
              <c:pt idx="3">
                <c:v>8</c:v>
              </c:pt>
              <c:pt idx="4">
                <c:v>6.5</c:v>
              </c:pt>
              <c:pt idx="5">
                <c:v>6.5</c:v>
              </c:pt>
              <c:pt idx="6">
                <c:v>6.5</c:v>
              </c:pt>
              <c:pt idx="7">
                <c:v>5.5</c:v>
              </c:pt>
              <c:pt idx="8">
                <c:v>5.9200000762939453</c:v>
              </c:pt>
              <c:pt idx="9">
                <c:v>5</c:v>
              </c:pt>
              <c:pt idx="10">
                <c:v>5</c:v>
              </c:pt>
              <c:pt idx="1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0526" y="91109"/>
          <a:ext cx="1887192" cy="53754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82" t="s">
        <v>30</v>
      </c>
      <c r="C35" s="182"/>
      <c r="D35" s="182"/>
      <c r="E35" s="107" t="s">
        <v>60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83" t="s">
        <v>31</v>
      </c>
      <c r="C37" s="183"/>
      <c r="D37" s="183"/>
      <c r="E37" s="109" t="s">
        <v>61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28</v>
      </c>
      <c r="E39" s="181" t="s">
        <v>62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MC99"/>
  <sheetViews>
    <sheetView showGridLines="0" topLeftCell="A7" zoomScale="70" zoomScaleNormal="70" zoomScaleSheetLayoutView="43" workbookViewId="0">
      <selection activeCell="F94" sqref="F94:JT94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4.42578125" style="3" customWidth="1"/>
    <col min="6" max="185" width="1.140625" style="3" customWidth="1"/>
    <col min="186" max="186" width="2.7109375" style="3" customWidth="1"/>
    <col min="187" max="16384" width="11.42578125" style="3"/>
  </cols>
  <sheetData>
    <row r="1" spans="1:280" ht="35.1" customHeight="1" x14ac:dyDescent="0.25">
      <c r="B1" s="95"/>
      <c r="C1" s="214" t="s">
        <v>29</v>
      </c>
      <c r="D1" s="214"/>
      <c r="E1" s="214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93">
        <v>1</v>
      </c>
    </row>
    <row r="2" spans="1:280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90"/>
    </row>
    <row r="3" spans="1:280" ht="30" customHeight="1" x14ac:dyDescent="0.25">
      <c r="B3" s="96"/>
      <c r="C3" s="7" t="s">
        <v>0</v>
      </c>
      <c r="D3" s="140"/>
      <c r="E3" s="8" t="s">
        <v>41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90"/>
    </row>
    <row r="4" spans="1:280" ht="30" customHeight="1" x14ac:dyDescent="0.25">
      <c r="B4" s="96"/>
      <c r="C4" s="12" t="s">
        <v>6</v>
      </c>
      <c r="D4" s="141"/>
      <c r="E4" s="13" t="s">
        <v>43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90"/>
    </row>
    <row r="5" spans="1:280" ht="30" customHeight="1" x14ac:dyDescent="0.25">
      <c r="B5" s="96"/>
      <c r="C5" s="12" t="s">
        <v>1</v>
      </c>
      <c r="D5" s="141"/>
      <c r="E5" s="13" t="s">
        <v>42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90"/>
    </row>
    <row r="6" spans="1:280" ht="30" customHeight="1" thickBot="1" x14ac:dyDescent="0.3">
      <c r="B6" s="96"/>
      <c r="C6" s="17" t="s">
        <v>2</v>
      </c>
      <c r="D6" s="142"/>
      <c r="E6" s="18" t="s">
        <v>11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90"/>
    </row>
    <row r="7" spans="1:280" ht="20.100000000000001" customHeight="1" thickBot="1" x14ac:dyDescent="0.3">
      <c r="B7" s="96"/>
      <c r="C7" s="215"/>
      <c r="D7" s="215"/>
      <c r="E7" s="215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90"/>
    </row>
    <row r="8" spans="1:280" ht="30" customHeight="1" x14ac:dyDescent="0.25">
      <c r="B8" s="96"/>
      <c r="C8" s="7" t="s">
        <v>3</v>
      </c>
      <c r="D8" s="140"/>
      <c r="E8" s="8" t="s">
        <v>44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90"/>
    </row>
    <row r="9" spans="1:280" ht="30" customHeight="1" x14ac:dyDescent="0.25">
      <c r="B9" s="96"/>
      <c r="C9" s="12" t="s">
        <v>16</v>
      </c>
      <c r="D9" s="141"/>
      <c r="E9" s="13" t="s">
        <v>20</v>
      </c>
      <c r="F9" s="14"/>
      <c r="G9" s="206" t="str">
        <f>E96</f>
        <v>516h40min</v>
      </c>
      <c r="H9" s="206"/>
      <c r="I9" s="206"/>
      <c r="J9" s="206"/>
      <c r="K9" s="206"/>
      <c r="L9" s="206"/>
      <c r="M9" s="206"/>
      <c r="N9" s="206"/>
      <c r="O9" s="206"/>
      <c r="P9" s="206"/>
      <c r="Q9" s="206"/>
      <c r="R9" s="206"/>
      <c r="S9" s="206"/>
      <c r="T9" s="206"/>
      <c r="U9" s="206"/>
      <c r="V9" s="119"/>
      <c r="W9" s="205" t="s">
        <v>21</v>
      </c>
      <c r="X9" s="205"/>
      <c r="Y9" s="205"/>
      <c r="Z9" s="205"/>
      <c r="AA9" s="205"/>
      <c r="AB9" s="205"/>
      <c r="AC9" s="205"/>
      <c r="AD9" s="205"/>
      <c r="AE9" s="205"/>
      <c r="AF9" s="205"/>
      <c r="AG9" s="205"/>
      <c r="AH9" s="206" t="str">
        <f>E98</f>
        <v>214h55min</v>
      </c>
      <c r="AI9" s="206"/>
      <c r="AJ9" s="206"/>
      <c r="AK9" s="206"/>
      <c r="AL9" s="206"/>
      <c r="AM9" s="206"/>
      <c r="AN9" s="206"/>
      <c r="AO9" s="206"/>
      <c r="AP9" s="206"/>
      <c r="AQ9" s="206"/>
      <c r="AR9" s="206"/>
      <c r="AS9" s="206"/>
      <c r="AT9" s="206"/>
      <c r="AU9" s="206"/>
      <c r="AV9" s="206"/>
      <c r="AW9" s="206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90"/>
    </row>
    <row r="10" spans="1:280" ht="20.100000000000001" customHeight="1" thickBot="1" x14ac:dyDescent="0.3">
      <c r="B10" s="96"/>
      <c r="C10" s="22"/>
      <c r="D10" s="143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207"/>
      <c r="BO10" s="207"/>
      <c r="BP10" s="207"/>
      <c r="BQ10" s="207"/>
      <c r="BR10" s="207"/>
      <c r="BS10" s="207"/>
      <c r="BT10" s="207"/>
      <c r="BU10" s="207"/>
      <c r="BV10" s="207"/>
      <c r="BW10" s="207"/>
      <c r="BX10" s="207"/>
      <c r="BY10" s="207"/>
      <c r="BZ10" s="207"/>
      <c r="CA10" s="207"/>
      <c r="CB10" s="207"/>
      <c r="CC10" s="207"/>
      <c r="CD10" s="207"/>
      <c r="CE10" s="207"/>
      <c r="CF10" s="207"/>
      <c r="CG10" s="207"/>
      <c r="CH10" s="207"/>
      <c r="CI10" s="207"/>
      <c r="CJ10" s="207"/>
      <c r="CK10" s="207"/>
      <c r="CL10" s="207"/>
      <c r="CM10" s="207"/>
      <c r="CN10" s="207"/>
      <c r="CO10" s="207"/>
      <c r="CP10" s="207"/>
      <c r="CQ10" s="92"/>
      <c r="CR10" s="200"/>
      <c r="CS10" s="200"/>
      <c r="CT10" s="200"/>
      <c r="CU10" s="200"/>
      <c r="CV10" s="200"/>
      <c r="CW10" s="200"/>
      <c r="CX10" s="200"/>
      <c r="CY10" s="200"/>
      <c r="CZ10" s="200"/>
      <c r="DA10" s="200"/>
      <c r="DB10" s="200"/>
      <c r="DC10" s="200"/>
      <c r="DD10" s="200"/>
      <c r="DE10" s="200"/>
      <c r="DF10" s="200"/>
      <c r="DG10" s="200"/>
      <c r="DH10" s="200"/>
      <c r="DI10" s="200"/>
      <c r="DJ10" s="200"/>
      <c r="DK10" s="200"/>
      <c r="DL10" s="200"/>
      <c r="DM10" s="200"/>
      <c r="DN10" s="200"/>
      <c r="DO10" s="200"/>
      <c r="DP10" s="200"/>
      <c r="DQ10" s="200"/>
      <c r="DR10" s="200"/>
      <c r="DS10" s="200"/>
      <c r="DT10" s="200"/>
      <c r="DU10" s="200"/>
      <c r="DV10" s="200"/>
      <c r="DW10" s="200"/>
      <c r="DX10" s="200"/>
      <c r="DY10" s="200"/>
      <c r="DZ10" s="200"/>
      <c r="EA10" s="200"/>
      <c r="EB10" s="200"/>
      <c r="EC10" s="200"/>
      <c r="ED10" s="200"/>
      <c r="EE10" s="200"/>
      <c r="EF10" s="200"/>
      <c r="EG10" s="200"/>
      <c r="EH10" s="200"/>
      <c r="EI10" s="200"/>
      <c r="EJ10" s="200"/>
      <c r="EK10" s="200"/>
      <c r="EL10" s="200"/>
      <c r="EM10" s="200"/>
      <c r="EN10" s="200"/>
      <c r="EO10" s="200"/>
      <c r="EP10" s="200"/>
      <c r="EQ10" s="200"/>
      <c r="ER10" s="200"/>
      <c r="ES10" s="200"/>
      <c r="ET10" s="200"/>
      <c r="EU10" s="200"/>
      <c r="EV10" s="200"/>
      <c r="EW10" s="200"/>
      <c r="EX10" s="200"/>
      <c r="EY10" s="200"/>
      <c r="EZ10" s="200"/>
      <c r="FA10" s="200"/>
      <c r="FB10" s="200"/>
      <c r="FC10" s="200"/>
      <c r="FD10" s="200"/>
      <c r="FE10" s="200"/>
      <c r="FF10" s="200"/>
      <c r="FG10" s="200"/>
      <c r="FH10" s="200"/>
      <c r="FI10" s="200"/>
      <c r="FJ10" s="200"/>
      <c r="FK10" s="200"/>
      <c r="FL10" s="200"/>
      <c r="FM10" s="200"/>
      <c r="FN10" s="200"/>
      <c r="FO10" s="200"/>
      <c r="FP10" s="200"/>
      <c r="FQ10" s="200"/>
      <c r="FR10" s="200"/>
      <c r="FS10" s="200"/>
      <c r="FT10" s="200"/>
      <c r="FU10" s="200"/>
      <c r="FV10" s="200"/>
      <c r="FW10" s="200"/>
      <c r="FX10" s="200"/>
      <c r="FY10" s="200"/>
      <c r="FZ10" s="200"/>
      <c r="GA10" s="200"/>
      <c r="GB10" s="200"/>
      <c r="GC10" s="200"/>
      <c r="GD10" s="90"/>
    </row>
    <row r="11" spans="1:280" ht="20.100000000000001" customHeight="1" x14ac:dyDescent="0.25">
      <c r="B11" s="96"/>
      <c r="C11" s="212"/>
      <c r="D11" s="212"/>
      <c r="E11" s="212"/>
      <c r="F11" s="204" t="s">
        <v>39</v>
      </c>
      <c r="G11" s="204"/>
      <c r="H11" s="204"/>
      <c r="I11" s="204"/>
      <c r="J11" s="204"/>
      <c r="K11" s="204"/>
      <c r="L11" s="204"/>
      <c r="M11" s="204"/>
      <c r="N11" s="204"/>
      <c r="O11" s="204"/>
      <c r="P11" s="204"/>
      <c r="Q11" s="204"/>
      <c r="R11" s="204"/>
      <c r="S11" s="204"/>
      <c r="T11" s="204"/>
      <c r="U11" s="204"/>
      <c r="V11" s="204"/>
      <c r="W11" s="204"/>
      <c r="X11" s="204"/>
      <c r="Y11" s="204"/>
      <c r="Z11" s="204"/>
      <c r="AA11" s="204"/>
      <c r="AB11" s="204"/>
      <c r="AC11" s="204"/>
      <c r="AD11" s="204"/>
      <c r="AE11" s="204"/>
      <c r="AF11" s="204"/>
      <c r="AG11" s="204"/>
      <c r="AH11" s="204"/>
      <c r="AI11" s="204"/>
      <c r="AJ11" s="204"/>
      <c r="AK11" s="204"/>
      <c r="AL11" s="204"/>
      <c r="AM11" s="204"/>
      <c r="AN11" s="204"/>
      <c r="AO11" s="204"/>
      <c r="AP11" s="204"/>
      <c r="AQ11" s="204"/>
      <c r="AR11" s="204"/>
      <c r="AS11" s="204"/>
      <c r="AT11" s="204"/>
      <c r="AU11" s="204"/>
      <c r="AV11" s="204"/>
      <c r="AW11" s="204"/>
      <c r="AX11" s="204"/>
      <c r="AY11" s="204"/>
      <c r="AZ11" s="204"/>
      <c r="BA11" s="204"/>
      <c r="BB11" s="204"/>
      <c r="BC11" s="204"/>
      <c r="BD11" s="204"/>
      <c r="BE11" s="204"/>
      <c r="BF11" s="204"/>
      <c r="BG11" s="204"/>
      <c r="BH11" s="204"/>
      <c r="BI11" s="204"/>
      <c r="BJ11" s="204"/>
      <c r="BK11" s="204"/>
      <c r="BL11" s="204"/>
      <c r="BM11" s="204"/>
      <c r="BN11" s="204" t="s">
        <v>39</v>
      </c>
      <c r="BO11" s="204"/>
      <c r="BP11" s="204"/>
      <c r="BQ11" s="204"/>
      <c r="BR11" s="204"/>
      <c r="BS11" s="204"/>
      <c r="BT11" s="204"/>
      <c r="BU11" s="204"/>
      <c r="BV11" s="204"/>
      <c r="BW11" s="204"/>
      <c r="BX11" s="204"/>
      <c r="BY11" s="204"/>
      <c r="BZ11" s="204"/>
      <c r="CA11" s="204"/>
      <c r="CB11" s="204"/>
      <c r="CC11" s="204"/>
      <c r="CD11" s="204"/>
      <c r="CE11" s="204"/>
      <c r="CF11" s="204"/>
      <c r="CG11" s="204"/>
      <c r="CH11" s="204"/>
      <c r="CI11" s="204"/>
      <c r="CJ11" s="204"/>
      <c r="CK11" s="204"/>
      <c r="CL11" s="204"/>
      <c r="CM11" s="204"/>
      <c r="CN11" s="204"/>
      <c r="CO11" s="204"/>
      <c r="CP11" s="204"/>
      <c r="CQ11" s="204"/>
      <c r="CR11" s="204"/>
      <c r="CS11" s="204"/>
      <c r="CT11" s="204"/>
      <c r="CU11" s="204"/>
      <c r="CV11" s="204"/>
      <c r="CW11" s="204"/>
      <c r="CX11" s="204"/>
      <c r="CY11" s="204"/>
      <c r="CZ11" s="204"/>
      <c r="DA11" s="204"/>
      <c r="DB11" s="204"/>
      <c r="DC11" s="204"/>
      <c r="DD11" s="204"/>
      <c r="DE11" s="204"/>
      <c r="DF11" s="204"/>
      <c r="DG11" s="204"/>
      <c r="DH11" s="204"/>
      <c r="DI11" s="204"/>
      <c r="DJ11" s="204"/>
      <c r="DK11" s="204"/>
      <c r="DL11" s="204"/>
      <c r="DM11" s="204"/>
      <c r="DN11" s="204"/>
      <c r="DO11" s="204"/>
      <c r="DP11" s="204"/>
      <c r="DQ11" s="204"/>
      <c r="DR11" s="204"/>
      <c r="DS11" s="204"/>
      <c r="DT11" s="204"/>
      <c r="DU11" s="204"/>
      <c r="DV11" s="201" t="s">
        <v>39</v>
      </c>
      <c r="DW11" s="201"/>
      <c r="DX11" s="201"/>
      <c r="DY11" s="201"/>
      <c r="DZ11" s="201"/>
      <c r="EA11" s="201"/>
      <c r="EB11" s="201"/>
      <c r="EC11" s="201"/>
      <c r="ED11" s="201"/>
      <c r="EE11" s="201"/>
      <c r="EF11" s="201"/>
      <c r="EG11" s="201"/>
      <c r="EH11" s="201"/>
      <c r="EI11" s="201"/>
      <c r="EJ11" s="201"/>
      <c r="EK11" s="201"/>
      <c r="EL11" s="201"/>
      <c r="EM11" s="201"/>
      <c r="EN11" s="201"/>
      <c r="EO11" s="201"/>
      <c r="EP11" s="201"/>
      <c r="EQ11" s="201"/>
      <c r="ER11" s="201"/>
      <c r="ES11" s="201"/>
      <c r="ET11" s="201"/>
      <c r="EU11" s="201"/>
      <c r="EV11" s="201"/>
      <c r="EW11" s="201"/>
      <c r="EX11" s="201"/>
      <c r="EY11" s="201"/>
      <c r="EZ11" s="201"/>
      <c r="FA11" s="201"/>
      <c r="FB11" s="201"/>
      <c r="FC11" s="201"/>
      <c r="FD11" s="201"/>
      <c r="FE11" s="201"/>
      <c r="FF11" s="201"/>
      <c r="FG11" s="201"/>
      <c r="FH11" s="201"/>
      <c r="FI11" s="201"/>
      <c r="FJ11" s="201"/>
      <c r="FK11" s="201"/>
      <c r="FL11" s="201"/>
      <c r="FM11" s="201"/>
      <c r="FN11" s="201"/>
      <c r="FO11" s="201"/>
      <c r="FP11" s="201"/>
      <c r="FQ11" s="201"/>
      <c r="FR11" s="201"/>
      <c r="FS11" s="201"/>
      <c r="FT11" s="201"/>
      <c r="FU11" s="201"/>
      <c r="FV11" s="201"/>
      <c r="FW11" s="201"/>
      <c r="FX11" s="201"/>
      <c r="FY11" s="201"/>
      <c r="FZ11" s="201"/>
      <c r="GA11" s="201"/>
      <c r="GB11" s="201"/>
      <c r="GC11" s="201"/>
      <c r="GD11" s="90"/>
    </row>
    <row r="12" spans="1:280" ht="15.75" customHeight="1" thickBot="1" x14ac:dyDescent="0.3">
      <c r="B12" s="97"/>
      <c r="C12" s="213"/>
      <c r="D12" s="213"/>
      <c r="E12" s="213"/>
      <c r="F12" s="203" t="s">
        <v>40</v>
      </c>
      <c r="G12" s="203"/>
      <c r="H12" s="203"/>
      <c r="I12" s="203"/>
      <c r="J12" s="203"/>
      <c r="K12" s="203"/>
      <c r="L12" s="203"/>
      <c r="M12" s="203"/>
      <c r="N12" s="203"/>
      <c r="O12" s="203"/>
      <c r="P12" s="203"/>
      <c r="Q12" s="203"/>
      <c r="R12" s="203"/>
      <c r="S12" s="203"/>
      <c r="T12" s="203"/>
      <c r="U12" s="203"/>
      <c r="V12" s="203"/>
      <c r="W12" s="203"/>
      <c r="X12" s="203"/>
      <c r="Y12" s="203"/>
      <c r="Z12" s="203"/>
      <c r="AA12" s="203"/>
      <c r="AB12" s="203"/>
      <c r="AC12" s="203"/>
      <c r="AD12" s="203"/>
      <c r="AE12" s="203"/>
      <c r="AF12" s="203"/>
      <c r="AG12" s="203"/>
      <c r="AH12" s="203"/>
      <c r="AI12" s="203"/>
      <c r="AJ12" s="203"/>
      <c r="AK12" s="203"/>
      <c r="AL12" s="203"/>
      <c r="AM12" s="203"/>
      <c r="AN12" s="203"/>
      <c r="AO12" s="203"/>
      <c r="AP12" s="203"/>
      <c r="AQ12" s="203"/>
      <c r="AR12" s="203"/>
      <c r="AS12" s="203"/>
      <c r="AT12" s="203"/>
      <c r="AU12" s="203"/>
      <c r="AV12" s="203"/>
      <c r="AW12" s="203"/>
      <c r="AX12" s="203"/>
      <c r="AY12" s="203"/>
      <c r="AZ12" s="203"/>
      <c r="BA12" s="203"/>
      <c r="BB12" s="203"/>
      <c r="BC12" s="203"/>
      <c r="BD12" s="203"/>
      <c r="BE12" s="203"/>
      <c r="BF12" s="203"/>
      <c r="BG12" s="203"/>
      <c r="BH12" s="203"/>
      <c r="BI12" s="203"/>
      <c r="BJ12" s="203"/>
      <c r="BK12" s="203"/>
      <c r="BL12" s="203"/>
      <c r="BM12" s="203"/>
      <c r="BN12" s="203" t="s">
        <v>40</v>
      </c>
      <c r="BO12" s="203"/>
      <c r="BP12" s="203"/>
      <c r="BQ12" s="203"/>
      <c r="BR12" s="203"/>
      <c r="BS12" s="203"/>
      <c r="BT12" s="203"/>
      <c r="BU12" s="203"/>
      <c r="BV12" s="203"/>
      <c r="BW12" s="203"/>
      <c r="BX12" s="203"/>
      <c r="BY12" s="203"/>
      <c r="BZ12" s="203"/>
      <c r="CA12" s="203"/>
      <c r="CB12" s="203"/>
      <c r="CC12" s="203"/>
      <c r="CD12" s="203"/>
      <c r="CE12" s="203"/>
      <c r="CF12" s="203"/>
      <c r="CG12" s="203"/>
      <c r="CH12" s="203"/>
      <c r="CI12" s="203"/>
      <c r="CJ12" s="203"/>
      <c r="CK12" s="203"/>
      <c r="CL12" s="203"/>
      <c r="CM12" s="203"/>
      <c r="CN12" s="203"/>
      <c r="CO12" s="203"/>
      <c r="CP12" s="203"/>
      <c r="CQ12" s="203"/>
      <c r="CR12" s="203"/>
      <c r="CS12" s="203"/>
      <c r="CT12" s="203"/>
      <c r="CU12" s="203"/>
      <c r="CV12" s="203"/>
      <c r="CW12" s="203"/>
      <c r="CX12" s="203"/>
      <c r="CY12" s="203"/>
      <c r="CZ12" s="203"/>
      <c r="DA12" s="203"/>
      <c r="DB12" s="203"/>
      <c r="DC12" s="203"/>
      <c r="DD12" s="203"/>
      <c r="DE12" s="203"/>
      <c r="DF12" s="203"/>
      <c r="DG12" s="203"/>
      <c r="DH12" s="203"/>
      <c r="DI12" s="203"/>
      <c r="DJ12" s="203"/>
      <c r="DK12" s="203"/>
      <c r="DL12" s="203"/>
      <c r="DM12" s="203"/>
      <c r="DN12" s="203"/>
      <c r="DO12" s="203"/>
      <c r="DP12" s="203"/>
      <c r="DQ12" s="203"/>
      <c r="DR12" s="203"/>
      <c r="DS12" s="203"/>
      <c r="DT12" s="203"/>
      <c r="DU12" s="203"/>
      <c r="DV12" s="202" t="s">
        <v>40</v>
      </c>
      <c r="DW12" s="202"/>
      <c r="DX12" s="202"/>
      <c r="DY12" s="202"/>
      <c r="DZ12" s="202"/>
      <c r="EA12" s="202"/>
      <c r="EB12" s="202"/>
      <c r="EC12" s="202"/>
      <c r="ED12" s="202"/>
      <c r="EE12" s="202"/>
      <c r="EF12" s="202"/>
      <c r="EG12" s="202"/>
      <c r="EH12" s="202"/>
      <c r="EI12" s="202"/>
      <c r="EJ12" s="202"/>
      <c r="EK12" s="202"/>
      <c r="EL12" s="202"/>
      <c r="EM12" s="202"/>
      <c r="EN12" s="202"/>
      <c r="EO12" s="202"/>
      <c r="EP12" s="202"/>
      <c r="EQ12" s="202"/>
      <c r="ER12" s="202"/>
      <c r="ES12" s="202"/>
      <c r="ET12" s="202"/>
      <c r="EU12" s="202"/>
      <c r="EV12" s="202"/>
      <c r="EW12" s="202"/>
      <c r="EX12" s="202"/>
      <c r="EY12" s="202"/>
      <c r="EZ12" s="202"/>
      <c r="FA12" s="202"/>
      <c r="FB12" s="202"/>
      <c r="FC12" s="202"/>
      <c r="FD12" s="202"/>
      <c r="FE12" s="202"/>
      <c r="FF12" s="202"/>
      <c r="FG12" s="202"/>
      <c r="FH12" s="202"/>
      <c r="FI12" s="202"/>
      <c r="FJ12" s="202"/>
      <c r="FK12" s="202"/>
      <c r="FL12" s="202"/>
      <c r="FM12" s="202"/>
      <c r="FN12" s="202"/>
      <c r="FO12" s="202"/>
      <c r="FP12" s="202"/>
      <c r="FQ12" s="202"/>
      <c r="FR12" s="202"/>
      <c r="FS12" s="202"/>
      <c r="FT12" s="202"/>
      <c r="FU12" s="202"/>
      <c r="FV12" s="202"/>
      <c r="FW12" s="202"/>
      <c r="FX12" s="202"/>
      <c r="FY12" s="202"/>
      <c r="FZ12" s="202"/>
      <c r="GA12" s="202"/>
      <c r="GB12" s="202"/>
      <c r="GC12" s="202"/>
      <c r="GD12" s="90"/>
    </row>
    <row r="13" spans="1:280" ht="42.75" customHeight="1" thickBot="1" x14ac:dyDescent="0.3">
      <c r="B13" s="96"/>
      <c r="C13" s="208" t="s">
        <v>7</v>
      </c>
      <c r="D13" s="144"/>
      <c r="E13" s="210" t="s">
        <v>37</v>
      </c>
      <c r="F13" s="184" t="s">
        <v>8</v>
      </c>
      <c r="G13" s="185"/>
      <c r="H13" s="185"/>
      <c r="I13" s="185"/>
      <c r="J13" s="185"/>
      <c r="K13" s="185"/>
      <c r="L13" s="185"/>
      <c r="M13" s="185"/>
      <c r="N13" s="185"/>
      <c r="O13" s="185"/>
      <c r="P13" s="185"/>
      <c r="Q13" s="185"/>
      <c r="R13" s="185"/>
      <c r="S13" s="185"/>
      <c r="T13" s="185"/>
      <c r="U13" s="185"/>
      <c r="V13" s="185"/>
      <c r="W13" s="185"/>
      <c r="X13" s="185"/>
      <c r="Y13" s="185"/>
      <c r="Z13" s="185"/>
      <c r="AA13" s="185"/>
      <c r="AB13" s="185"/>
      <c r="AC13" s="185"/>
      <c r="AD13" s="185"/>
      <c r="AE13" s="185"/>
      <c r="AF13" s="185"/>
      <c r="AG13" s="185"/>
      <c r="AH13" s="185"/>
      <c r="AI13" s="185"/>
      <c r="AJ13" s="185"/>
      <c r="AK13" s="185"/>
      <c r="AL13" s="185"/>
      <c r="AM13" s="185"/>
      <c r="AN13" s="185"/>
      <c r="AO13" s="185"/>
      <c r="AP13" s="185"/>
      <c r="AQ13" s="185"/>
      <c r="AR13" s="185"/>
      <c r="AS13" s="185"/>
      <c r="AT13" s="185"/>
      <c r="AU13" s="185"/>
      <c r="AV13" s="185"/>
      <c r="AW13" s="185"/>
      <c r="AX13" s="185"/>
      <c r="AY13" s="185"/>
      <c r="AZ13" s="185"/>
      <c r="BA13" s="185"/>
      <c r="BB13" s="185"/>
      <c r="BC13" s="185"/>
      <c r="BD13" s="185"/>
      <c r="BE13" s="185"/>
      <c r="BF13" s="185"/>
      <c r="BG13" s="185"/>
      <c r="BH13" s="185"/>
      <c r="BI13" s="185"/>
      <c r="BJ13" s="185"/>
      <c r="BK13" s="185"/>
      <c r="BL13" s="185"/>
      <c r="BM13" s="186"/>
      <c r="BN13" s="184" t="s">
        <v>26</v>
      </c>
      <c r="BO13" s="185"/>
      <c r="BP13" s="185"/>
      <c r="BQ13" s="185"/>
      <c r="BR13" s="185"/>
      <c r="BS13" s="185"/>
      <c r="BT13" s="185"/>
      <c r="BU13" s="185"/>
      <c r="BV13" s="185"/>
      <c r="BW13" s="185"/>
      <c r="BX13" s="185"/>
      <c r="BY13" s="185"/>
      <c r="BZ13" s="185"/>
      <c r="CA13" s="185"/>
      <c r="CB13" s="185"/>
      <c r="CC13" s="185"/>
      <c r="CD13" s="185"/>
      <c r="CE13" s="185"/>
      <c r="CF13" s="185"/>
      <c r="CG13" s="185"/>
      <c r="CH13" s="185"/>
      <c r="CI13" s="185"/>
      <c r="CJ13" s="185"/>
      <c r="CK13" s="185"/>
      <c r="CL13" s="185"/>
      <c r="CM13" s="185"/>
      <c r="CN13" s="185"/>
      <c r="CO13" s="185"/>
      <c r="CP13" s="185"/>
      <c r="CQ13" s="185"/>
      <c r="CR13" s="185"/>
      <c r="CS13" s="185"/>
      <c r="CT13" s="185"/>
      <c r="CU13" s="185"/>
      <c r="CV13" s="185"/>
      <c r="CW13" s="185"/>
      <c r="CX13" s="185"/>
      <c r="CY13" s="185"/>
      <c r="CZ13" s="185"/>
      <c r="DA13" s="185"/>
      <c r="DB13" s="185"/>
      <c r="DC13" s="185"/>
      <c r="DD13" s="185"/>
      <c r="DE13" s="185"/>
      <c r="DF13" s="185"/>
      <c r="DG13" s="185"/>
      <c r="DH13" s="185"/>
      <c r="DI13" s="185"/>
      <c r="DJ13" s="185"/>
      <c r="DK13" s="185"/>
      <c r="DL13" s="185"/>
      <c r="DM13" s="185"/>
      <c r="DN13" s="185"/>
      <c r="DO13" s="185"/>
      <c r="DP13" s="185"/>
      <c r="DQ13" s="185"/>
      <c r="DR13" s="185"/>
      <c r="DS13" s="185"/>
      <c r="DT13" s="185"/>
      <c r="DU13" s="186"/>
      <c r="DV13" s="184" t="s">
        <v>17</v>
      </c>
      <c r="DW13" s="185"/>
      <c r="DX13" s="185"/>
      <c r="DY13" s="185"/>
      <c r="DZ13" s="185"/>
      <c r="EA13" s="185"/>
      <c r="EB13" s="185"/>
      <c r="EC13" s="185"/>
      <c r="ED13" s="185"/>
      <c r="EE13" s="185"/>
      <c r="EF13" s="185"/>
      <c r="EG13" s="185"/>
      <c r="EH13" s="185"/>
      <c r="EI13" s="185"/>
      <c r="EJ13" s="185"/>
      <c r="EK13" s="185"/>
      <c r="EL13" s="185"/>
      <c r="EM13" s="185"/>
      <c r="EN13" s="185"/>
      <c r="EO13" s="185"/>
      <c r="EP13" s="185"/>
      <c r="EQ13" s="185"/>
      <c r="ER13" s="185"/>
      <c r="ES13" s="185"/>
      <c r="ET13" s="185"/>
      <c r="EU13" s="185"/>
      <c r="EV13" s="185"/>
      <c r="EW13" s="185"/>
      <c r="EX13" s="185"/>
      <c r="EY13" s="185"/>
      <c r="EZ13" s="185"/>
      <c r="FA13" s="185"/>
      <c r="FB13" s="185"/>
      <c r="FC13" s="185"/>
      <c r="FD13" s="185"/>
      <c r="FE13" s="185"/>
      <c r="FF13" s="185"/>
      <c r="FG13" s="185"/>
      <c r="FH13" s="185"/>
      <c r="FI13" s="185"/>
      <c r="FJ13" s="185"/>
      <c r="FK13" s="185"/>
      <c r="FL13" s="185"/>
      <c r="FM13" s="185"/>
      <c r="FN13" s="185"/>
      <c r="FO13" s="185"/>
      <c r="FP13" s="185"/>
      <c r="FQ13" s="185"/>
      <c r="FR13" s="185"/>
      <c r="FS13" s="185"/>
      <c r="FT13" s="185"/>
      <c r="FU13" s="185"/>
      <c r="FV13" s="185"/>
      <c r="FW13" s="185"/>
      <c r="FX13" s="185"/>
      <c r="FY13" s="185"/>
      <c r="FZ13" s="185"/>
      <c r="GA13" s="185"/>
      <c r="GB13" s="185"/>
      <c r="GC13" s="186"/>
      <c r="GD13" s="90"/>
    </row>
    <row r="14" spans="1:280" ht="12.75" customHeight="1" thickBot="1" x14ac:dyDescent="0.35">
      <c r="B14" s="96"/>
      <c r="C14" s="209"/>
      <c r="D14" s="145"/>
      <c r="E14" s="211"/>
      <c r="F14" s="103"/>
      <c r="G14" s="104"/>
      <c r="H14" s="104"/>
      <c r="I14" s="104"/>
      <c r="J14" s="187" t="s">
        <v>32</v>
      </c>
      <c r="K14" s="187"/>
      <c r="L14" s="187"/>
      <c r="M14" s="187"/>
      <c r="N14" s="104"/>
      <c r="O14" s="104"/>
      <c r="P14" s="188" t="s">
        <v>22</v>
      </c>
      <c r="Q14" s="188"/>
      <c r="R14" s="188"/>
      <c r="S14" s="188"/>
      <c r="T14" s="129"/>
      <c r="U14" s="129"/>
      <c r="V14" s="187" t="s">
        <v>33</v>
      </c>
      <c r="W14" s="187"/>
      <c r="X14" s="187"/>
      <c r="Y14" s="187"/>
      <c r="Z14" s="104"/>
      <c r="AA14" s="104"/>
      <c r="AB14" s="188" t="s">
        <v>23</v>
      </c>
      <c r="AC14" s="188"/>
      <c r="AD14" s="188"/>
      <c r="AE14" s="188"/>
      <c r="AF14" s="129"/>
      <c r="AG14" s="129"/>
      <c r="AH14" s="187" t="s">
        <v>34</v>
      </c>
      <c r="AI14" s="187"/>
      <c r="AJ14" s="187"/>
      <c r="AK14" s="187"/>
      <c r="AL14" s="104"/>
      <c r="AM14" s="104"/>
      <c r="AN14" s="188" t="s">
        <v>24</v>
      </c>
      <c r="AO14" s="188"/>
      <c r="AP14" s="188"/>
      <c r="AQ14" s="188"/>
      <c r="AR14" s="129"/>
      <c r="AS14" s="129"/>
      <c r="AT14" s="187" t="s">
        <v>35</v>
      </c>
      <c r="AU14" s="187"/>
      <c r="AV14" s="187"/>
      <c r="AW14" s="187"/>
      <c r="AX14" s="104"/>
      <c r="AY14" s="104"/>
      <c r="AZ14" s="188" t="s">
        <v>25</v>
      </c>
      <c r="BA14" s="188"/>
      <c r="BB14" s="188"/>
      <c r="BC14" s="188"/>
      <c r="BD14" s="129"/>
      <c r="BE14" s="129"/>
      <c r="BF14" s="187" t="s">
        <v>36</v>
      </c>
      <c r="BG14" s="187"/>
      <c r="BH14" s="187"/>
      <c r="BI14" s="187"/>
      <c r="BJ14" s="104"/>
      <c r="BK14" s="104"/>
      <c r="BL14" s="104"/>
      <c r="BM14" s="105"/>
      <c r="BN14" s="103"/>
      <c r="BO14" s="104"/>
      <c r="BP14" s="104"/>
      <c r="BQ14" s="104"/>
      <c r="BR14" s="187" t="s">
        <v>32</v>
      </c>
      <c r="BS14" s="187"/>
      <c r="BT14" s="187"/>
      <c r="BU14" s="187"/>
      <c r="BV14" s="104"/>
      <c r="BW14" s="104"/>
      <c r="BX14" s="188" t="s">
        <v>22</v>
      </c>
      <c r="BY14" s="188"/>
      <c r="BZ14" s="188"/>
      <c r="CA14" s="188"/>
      <c r="CB14" s="129"/>
      <c r="CC14" s="129"/>
      <c r="CD14" s="187" t="s">
        <v>33</v>
      </c>
      <c r="CE14" s="187"/>
      <c r="CF14" s="187"/>
      <c r="CG14" s="187"/>
      <c r="CH14" s="104"/>
      <c r="CI14" s="104"/>
      <c r="CJ14" s="188" t="s">
        <v>23</v>
      </c>
      <c r="CK14" s="188"/>
      <c r="CL14" s="188"/>
      <c r="CM14" s="188"/>
      <c r="CN14" s="129"/>
      <c r="CO14" s="129"/>
      <c r="CP14" s="187" t="s">
        <v>34</v>
      </c>
      <c r="CQ14" s="187"/>
      <c r="CR14" s="187"/>
      <c r="CS14" s="187"/>
      <c r="CT14" s="104"/>
      <c r="CU14" s="104"/>
      <c r="CV14" s="188" t="s">
        <v>24</v>
      </c>
      <c r="CW14" s="188"/>
      <c r="CX14" s="188"/>
      <c r="CY14" s="188"/>
      <c r="CZ14" s="129"/>
      <c r="DA14" s="129"/>
      <c r="DB14" s="187" t="s">
        <v>35</v>
      </c>
      <c r="DC14" s="187"/>
      <c r="DD14" s="187"/>
      <c r="DE14" s="187"/>
      <c r="DF14" s="104"/>
      <c r="DG14" s="104"/>
      <c r="DH14" s="188" t="s">
        <v>25</v>
      </c>
      <c r="DI14" s="188"/>
      <c r="DJ14" s="188"/>
      <c r="DK14" s="188"/>
      <c r="DL14" s="129"/>
      <c r="DM14" s="129"/>
      <c r="DN14" s="187" t="s">
        <v>36</v>
      </c>
      <c r="DO14" s="187"/>
      <c r="DP14" s="187"/>
      <c r="DQ14" s="187"/>
      <c r="DR14" s="104"/>
      <c r="DS14" s="104"/>
      <c r="DT14" s="104"/>
      <c r="DU14" s="105"/>
      <c r="DV14" s="103"/>
      <c r="DW14" s="104"/>
      <c r="DX14" s="104"/>
      <c r="DY14" s="104"/>
      <c r="DZ14" s="187" t="s">
        <v>32</v>
      </c>
      <c r="EA14" s="187"/>
      <c r="EB14" s="187"/>
      <c r="EC14" s="187"/>
      <c r="ED14" s="104"/>
      <c r="EE14" s="104"/>
      <c r="EF14" s="188" t="s">
        <v>22</v>
      </c>
      <c r="EG14" s="188"/>
      <c r="EH14" s="188"/>
      <c r="EI14" s="188"/>
      <c r="EJ14" s="129"/>
      <c r="EK14" s="129"/>
      <c r="EL14" s="187" t="s">
        <v>33</v>
      </c>
      <c r="EM14" s="187"/>
      <c r="EN14" s="187"/>
      <c r="EO14" s="187"/>
      <c r="EP14" s="104"/>
      <c r="EQ14" s="104"/>
      <c r="ER14" s="188" t="s">
        <v>23</v>
      </c>
      <c r="ES14" s="188"/>
      <c r="ET14" s="188"/>
      <c r="EU14" s="188"/>
      <c r="EV14" s="129"/>
      <c r="EW14" s="129"/>
      <c r="EX14" s="187" t="s">
        <v>34</v>
      </c>
      <c r="EY14" s="187"/>
      <c r="EZ14" s="187"/>
      <c r="FA14" s="187"/>
      <c r="FB14" s="104"/>
      <c r="FC14" s="104"/>
      <c r="FD14" s="188" t="s">
        <v>24</v>
      </c>
      <c r="FE14" s="188"/>
      <c r="FF14" s="188"/>
      <c r="FG14" s="188"/>
      <c r="FH14" s="129"/>
      <c r="FI14" s="129"/>
      <c r="FJ14" s="187" t="s">
        <v>35</v>
      </c>
      <c r="FK14" s="187"/>
      <c r="FL14" s="187"/>
      <c r="FM14" s="187"/>
      <c r="FN14" s="104"/>
      <c r="FO14" s="104"/>
      <c r="FP14" s="188" t="s">
        <v>25</v>
      </c>
      <c r="FQ14" s="188"/>
      <c r="FR14" s="188"/>
      <c r="FS14" s="188"/>
      <c r="FT14" s="129"/>
      <c r="FU14" s="129"/>
      <c r="FV14" s="187" t="s">
        <v>36</v>
      </c>
      <c r="FW14" s="187"/>
      <c r="FX14" s="187"/>
      <c r="FY14" s="187"/>
      <c r="FZ14" s="104"/>
      <c r="GA14" s="104"/>
      <c r="GB14" s="104"/>
      <c r="GC14" s="105"/>
      <c r="GD14" s="90"/>
    </row>
    <row r="15" spans="1:280" ht="20.100000000000001" customHeight="1" x14ac:dyDescent="0.25">
      <c r="A15" s="100" t="s">
        <v>18</v>
      </c>
      <c r="B15" s="63" t="str">
        <f>IF(LEN(C15)=0,"",C15)</f>
        <v xml:space="preserve">Absences - imprévus </v>
      </c>
      <c r="C15" s="193" t="s">
        <v>4</v>
      </c>
      <c r="D15" s="149" t="str">
        <f>setValueToTime(E15)</f>
        <v>12h55min</v>
      </c>
      <c r="E15" s="31">
        <v>155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90"/>
    </row>
    <row r="16" spans="1:280" ht="20.100000000000001" customHeight="1" x14ac:dyDescent="0.25">
      <c r="A16" s="100" t="s">
        <v>19</v>
      </c>
      <c r="B16" s="63" t="str">
        <f>IF(LEN(C17)=0,"",C17)</f>
        <v>Mettre code initial en méthode</v>
      </c>
      <c r="C16" s="194"/>
      <c r="D16" s="147" t="str">
        <f t="shared" ref="D16:D79" si="0">setValueToTime(E16)</f>
        <v>5h</v>
      </c>
      <c r="E16" s="35">
        <v>60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179"/>
      <c r="GE16" s="180"/>
      <c r="GF16" s="180"/>
      <c r="GG16" s="180"/>
      <c r="GH16" s="180"/>
      <c r="GI16" s="180"/>
      <c r="GJ16" s="180"/>
      <c r="GK16" s="180"/>
      <c r="GL16" s="180"/>
      <c r="GM16" s="180"/>
      <c r="GN16" s="180"/>
      <c r="GO16" s="180"/>
      <c r="GP16" s="180"/>
      <c r="GQ16" s="180"/>
      <c r="GR16" s="180"/>
      <c r="GS16" s="180"/>
      <c r="GT16" s="180"/>
      <c r="GU16" s="180"/>
      <c r="GV16" s="180"/>
      <c r="GW16" s="180"/>
      <c r="GX16" s="180"/>
      <c r="GY16" s="180"/>
      <c r="GZ16" s="180"/>
      <c r="HA16" s="180"/>
      <c r="HB16" s="180"/>
      <c r="HC16" s="180"/>
      <c r="HD16" s="180"/>
      <c r="HE16" s="180"/>
      <c r="HF16" s="180"/>
      <c r="HG16" s="180"/>
      <c r="HH16" s="180"/>
      <c r="HI16" s="180"/>
      <c r="HJ16" s="180"/>
      <c r="HK16" s="180"/>
      <c r="HL16" s="180"/>
      <c r="HM16" s="180"/>
      <c r="HN16" s="180"/>
      <c r="HO16" s="180"/>
      <c r="HP16" s="180"/>
      <c r="HQ16" s="180"/>
      <c r="HR16" s="180"/>
      <c r="HS16" s="180"/>
      <c r="HT16" s="180"/>
      <c r="HU16" s="180"/>
      <c r="HV16" s="180"/>
      <c r="HW16" s="180"/>
      <c r="HX16" s="180"/>
      <c r="HY16" s="180"/>
      <c r="HZ16" s="180"/>
      <c r="IA16" s="180"/>
      <c r="IB16" s="180"/>
      <c r="IC16" s="180"/>
      <c r="ID16" s="180"/>
      <c r="IE16" s="180"/>
      <c r="IF16" s="180"/>
      <c r="IG16" s="180"/>
      <c r="IH16" s="180"/>
      <c r="II16" s="180"/>
      <c r="IJ16" s="180"/>
      <c r="IK16" s="180"/>
      <c r="IL16" s="180"/>
      <c r="IM16" s="180"/>
      <c r="IN16" s="180"/>
      <c r="IO16" s="180"/>
      <c r="IP16" s="180"/>
      <c r="IQ16" s="180"/>
      <c r="IR16" s="180"/>
      <c r="IS16" s="180"/>
      <c r="IT16" s="180"/>
      <c r="IU16" s="180"/>
      <c r="IV16" s="180"/>
      <c r="IW16" s="180"/>
      <c r="IX16" s="180"/>
      <c r="IY16" s="180"/>
      <c r="IZ16" s="180"/>
      <c r="JA16" s="180"/>
      <c r="JB16" s="180"/>
      <c r="JC16" s="180"/>
      <c r="JD16" s="180"/>
      <c r="JE16" s="180"/>
      <c r="JF16" s="180"/>
      <c r="JG16" s="180"/>
      <c r="JH16" s="180"/>
      <c r="JI16" s="180"/>
      <c r="JJ16" s="180"/>
      <c r="JK16" s="180"/>
      <c r="JL16" s="180"/>
      <c r="JM16" s="180"/>
      <c r="JN16" s="180"/>
      <c r="JO16" s="180"/>
      <c r="JP16" s="180"/>
      <c r="JQ16" s="180"/>
      <c r="JR16" s="180"/>
      <c r="JS16" s="180"/>
      <c r="JT16" s="180"/>
    </row>
    <row r="17" spans="1:281" ht="20.100000000000001" customHeight="1" x14ac:dyDescent="0.25">
      <c r="A17" s="100" t="s">
        <v>18</v>
      </c>
      <c r="B17" s="63" t="str">
        <f>IF(LEN(C19)=0,"",C19)</f>
        <v>Début WinForm Accueil + Début interface de jeu</v>
      </c>
      <c r="C17" s="193" t="s">
        <v>45</v>
      </c>
      <c r="D17" s="146" t="str">
        <f t="shared" si="0"/>
        <v>12h55min</v>
      </c>
      <c r="E17" s="31">
        <v>155</v>
      </c>
      <c r="F17" s="32"/>
      <c r="G17" s="64"/>
      <c r="H17" s="64"/>
      <c r="I17" s="64"/>
      <c r="J17" s="33"/>
      <c r="K17" s="132"/>
      <c r="L17" s="33"/>
      <c r="M17" s="33"/>
      <c r="N17" s="33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90"/>
    </row>
    <row r="18" spans="1:281" ht="20.100000000000001" customHeight="1" x14ac:dyDescent="0.3">
      <c r="A18" s="100" t="s">
        <v>19</v>
      </c>
      <c r="B18" s="63" t="str">
        <f>IF(LEN(C21)=0,"",C21)</f>
        <v>Mise en fonction des couleurs</v>
      </c>
      <c r="C18" s="194"/>
      <c r="D18" s="148" t="str">
        <f t="shared" si="0"/>
        <v>8h</v>
      </c>
      <c r="E18" s="35">
        <v>96</v>
      </c>
      <c r="F18" s="167"/>
      <c r="G18" s="168"/>
      <c r="H18" s="168"/>
      <c r="I18" s="168"/>
      <c r="J18" s="169"/>
      <c r="K18" s="170"/>
      <c r="L18" s="169"/>
      <c r="M18" s="169"/>
      <c r="N18" s="169"/>
      <c r="O18" s="169"/>
      <c r="P18" s="169"/>
      <c r="Q18" s="171"/>
      <c r="R18" s="169"/>
      <c r="S18" s="169"/>
      <c r="T18" s="169"/>
      <c r="U18" s="169"/>
      <c r="V18" s="169"/>
      <c r="W18" s="172"/>
      <c r="X18" s="169"/>
      <c r="Y18" s="169"/>
      <c r="Z18" s="169"/>
      <c r="AA18" s="169"/>
      <c r="AB18" s="169"/>
      <c r="AC18" s="171"/>
      <c r="AD18" s="169"/>
      <c r="AE18" s="169"/>
      <c r="AF18" s="169"/>
      <c r="AG18" s="169"/>
      <c r="AH18" s="169"/>
      <c r="AI18" s="172"/>
      <c r="AJ18" s="168"/>
      <c r="AK18" s="168"/>
      <c r="AL18" s="168"/>
      <c r="AM18" s="168"/>
      <c r="AN18" s="169"/>
      <c r="AO18" s="171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179"/>
      <c r="GE18" s="180"/>
      <c r="GF18" s="180"/>
      <c r="GG18" s="180"/>
      <c r="GH18" s="180"/>
      <c r="GI18" s="180"/>
      <c r="GJ18" s="180"/>
      <c r="GK18" s="180"/>
      <c r="GL18" s="180"/>
      <c r="GM18" s="180"/>
      <c r="GN18" s="180"/>
      <c r="GO18" s="180"/>
      <c r="GP18" s="180"/>
      <c r="GQ18" s="180"/>
      <c r="GR18" s="180"/>
      <c r="GS18" s="180"/>
      <c r="GT18" s="180"/>
      <c r="GU18" s="180"/>
      <c r="GV18" s="180"/>
      <c r="GW18" s="180"/>
      <c r="GX18" s="180"/>
      <c r="GY18" s="180"/>
      <c r="GZ18" s="180"/>
      <c r="HA18" s="180"/>
      <c r="HB18" s="180"/>
      <c r="HC18" s="180"/>
      <c r="HD18" s="180"/>
      <c r="HE18" s="180"/>
      <c r="HF18" s="180"/>
      <c r="HG18" s="180"/>
      <c r="HH18" s="180"/>
      <c r="HI18" s="180"/>
      <c r="HJ18" s="180"/>
      <c r="HK18" s="180"/>
      <c r="HL18" s="180"/>
      <c r="HM18" s="180"/>
      <c r="HN18" s="180"/>
      <c r="HO18" s="180"/>
      <c r="HP18" s="180"/>
      <c r="HQ18" s="180"/>
      <c r="HR18" s="180"/>
      <c r="HS18" s="180"/>
      <c r="HT18" s="180"/>
      <c r="HU18" s="180"/>
      <c r="HV18" s="180"/>
      <c r="HW18" s="180"/>
      <c r="HX18" s="180"/>
      <c r="HY18" s="180"/>
      <c r="HZ18" s="180"/>
      <c r="IA18" s="180"/>
      <c r="IB18" s="180"/>
      <c r="IC18" s="180"/>
      <c r="ID18" s="180"/>
      <c r="IE18" s="180"/>
      <c r="IF18" s="180"/>
      <c r="IG18" s="180"/>
      <c r="IH18" s="180"/>
      <c r="II18" s="180"/>
      <c r="IJ18" s="180"/>
      <c r="IK18" s="180"/>
      <c r="IL18" s="180"/>
      <c r="IM18" s="180"/>
      <c r="IN18" s="180"/>
      <c r="IO18" s="180"/>
      <c r="IP18" s="180"/>
      <c r="IQ18" s="180"/>
      <c r="IR18" s="180"/>
      <c r="IS18" s="180"/>
      <c r="IT18" s="180"/>
      <c r="IU18" s="180"/>
      <c r="IV18" s="180"/>
      <c r="IW18" s="180"/>
      <c r="IX18" s="180"/>
      <c r="IY18" s="180"/>
      <c r="IZ18" s="180"/>
      <c r="JA18" s="180"/>
      <c r="JB18" s="180"/>
      <c r="JC18" s="180"/>
      <c r="JD18" s="180"/>
      <c r="JE18" s="180"/>
      <c r="JF18" s="180"/>
      <c r="JG18" s="180"/>
      <c r="JH18" s="180"/>
      <c r="JI18" s="180"/>
      <c r="JJ18" s="180"/>
      <c r="JK18" s="180"/>
      <c r="JL18" s="180"/>
      <c r="JM18" s="180"/>
      <c r="JN18" s="180"/>
      <c r="JO18" s="180"/>
      <c r="JP18" s="180"/>
      <c r="JQ18" s="180"/>
      <c r="JR18" s="180"/>
      <c r="JS18" s="180"/>
      <c r="JT18" s="180"/>
    </row>
    <row r="19" spans="1:281" ht="20.100000000000001" customHeight="1" x14ac:dyDescent="0.25">
      <c r="A19" s="100" t="s">
        <v>18</v>
      </c>
      <c r="B19" s="63" t="str">
        <f>IF(LEN(C23)=0,"",C23)</f>
        <v>Changement de projet</v>
      </c>
      <c r="C19" s="193" t="s">
        <v>47</v>
      </c>
      <c r="D19" s="146" t="str">
        <f t="shared" si="0"/>
        <v>12h55min</v>
      </c>
      <c r="E19" s="39">
        <v>155</v>
      </c>
      <c r="F19" s="40"/>
      <c r="G19" s="66"/>
      <c r="H19" s="66"/>
      <c r="I19" s="66"/>
      <c r="J19" s="41"/>
      <c r="K19" s="134"/>
      <c r="L19" s="41"/>
      <c r="M19" s="41"/>
      <c r="N19" s="41"/>
      <c r="O19" s="41"/>
      <c r="P19" s="41"/>
      <c r="Q19" s="139"/>
      <c r="R19" s="41"/>
      <c r="S19" s="41"/>
      <c r="T19" s="41"/>
      <c r="U19" s="41"/>
      <c r="V19" s="41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41"/>
      <c r="EV19" s="41"/>
      <c r="EW19" s="41"/>
      <c r="EX19" s="41"/>
      <c r="EY19" s="76"/>
      <c r="EZ19" s="66"/>
      <c r="FA19" s="66"/>
      <c r="FB19" s="66"/>
      <c r="FC19" s="66"/>
      <c r="FD19" s="41"/>
      <c r="FE19" s="139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90"/>
    </row>
    <row r="20" spans="1:281" ht="20.100000000000001" customHeight="1" x14ac:dyDescent="0.25">
      <c r="A20" s="100" t="s">
        <v>19</v>
      </c>
      <c r="B20" s="63" t="str">
        <f>IF(LEN(C25)=0,"",C25)</f>
        <v>Création des labels de la zone d'essais</v>
      </c>
      <c r="C20" s="195"/>
      <c r="D20" s="147" t="str">
        <f t="shared" si="0"/>
        <v>8h</v>
      </c>
      <c r="E20" s="27">
        <v>96</v>
      </c>
      <c r="F20" s="28"/>
      <c r="G20" s="67"/>
      <c r="H20" s="67"/>
      <c r="I20" s="67"/>
      <c r="J20" s="29"/>
      <c r="K20" s="131"/>
      <c r="L20" s="29"/>
      <c r="M20" s="29"/>
      <c r="N20" s="29"/>
      <c r="O20" s="29"/>
      <c r="P20" s="29"/>
      <c r="Q20" s="136"/>
      <c r="R20" s="29"/>
      <c r="S20" s="29"/>
      <c r="T20" s="29"/>
      <c r="U20" s="29"/>
      <c r="V20" s="2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177"/>
      <c r="BO20" s="176"/>
      <c r="BP20" s="176"/>
      <c r="BQ20" s="176"/>
      <c r="BR20" s="173"/>
      <c r="BS20" s="178"/>
      <c r="BT20" s="173"/>
      <c r="BU20" s="173"/>
      <c r="BV20" s="173"/>
      <c r="BW20" s="173"/>
      <c r="BX20" s="173"/>
      <c r="BY20" s="174"/>
      <c r="BZ20" s="173"/>
      <c r="CA20" s="173"/>
      <c r="CB20" s="173"/>
      <c r="CC20" s="173"/>
      <c r="CD20" s="173"/>
      <c r="CE20" s="172"/>
      <c r="CF20" s="173"/>
      <c r="CG20" s="173"/>
      <c r="CH20" s="173"/>
      <c r="CI20" s="173"/>
      <c r="CJ20" s="173"/>
      <c r="CK20" s="174"/>
      <c r="CL20" s="173"/>
      <c r="CM20" s="173"/>
      <c r="CN20" s="173"/>
      <c r="CO20" s="173"/>
      <c r="CP20" s="173"/>
      <c r="CQ20" s="172"/>
      <c r="CR20" s="176"/>
      <c r="CS20" s="176"/>
      <c r="CT20" s="176"/>
      <c r="CU20" s="176"/>
      <c r="CV20" s="173"/>
      <c r="CW20" s="174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179"/>
      <c r="GE20" s="180"/>
      <c r="GF20" s="180"/>
      <c r="GG20" s="180"/>
      <c r="GH20" s="180"/>
      <c r="GI20" s="180"/>
      <c r="GJ20" s="180"/>
      <c r="GK20" s="180"/>
      <c r="GL20" s="180"/>
      <c r="GM20" s="180"/>
      <c r="GN20" s="180"/>
      <c r="GO20" s="180"/>
      <c r="GP20" s="180"/>
      <c r="GQ20" s="180"/>
      <c r="GR20" s="180"/>
      <c r="GS20" s="180"/>
      <c r="GT20" s="180"/>
      <c r="GU20" s="180"/>
      <c r="GV20" s="180"/>
      <c r="GW20" s="180"/>
      <c r="GX20" s="180"/>
      <c r="GY20" s="180"/>
      <c r="GZ20" s="180"/>
      <c r="HA20" s="180"/>
      <c r="HB20" s="180"/>
      <c r="HC20" s="180"/>
      <c r="HD20" s="180"/>
      <c r="HE20" s="180"/>
      <c r="HF20" s="180"/>
      <c r="HG20" s="180"/>
      <c r="HH20" s="180"/>
      <c r="HI20" s="180"/>
      <c r="HJ20" s="180"/>
      <c r="HK20" s="180"/>
      <c r="HL20" s="180"/>
      <c r="HM20" s="180"/>
      <c r="HN20" s="180"/>
      <c r="HO20" s="180"/>
      <c r="HP20" s="180"/>
      <c r="HQ20" s="180"/>
      <c r="HR20" s="180"/>
      <c r="HS20" s="180"/>
      <c r="HT20" s="180"/>
      <c r="HU20" s="180"/>
      <c r="HV20" s="180"/>
      <c r="HW20" s="180"/>
      <c r="HX20" s="180"/>
      <c r="HY20" s="180"/>
      <c r="HZ20" s="180"/>
      <c r="IA20" s="180"/>
      <c r="IB20" s="180"/>
      <c r="IC20" s="180"/>
      <c r="ID20" s="180"/>
      <c r="IE20" s="180"/>
      <c r="IF20" s="180"/>
      <c r="IG20" s="180"/>
      <c r="IH20" s="180"/>
      <c r="II20" s="180"/>
      <c r="IJ20" s="180"/>
      <c r="IK20" s="180"/>
      <c r="IL20" s="180"/>
      <c r="IM20" s="180"/>
      <c r="IN20" s="180"/>
      <c r="IO20" s="180"/>
      <c r="IP20" s="180"/>
      <c r="IQ20" s="180"/>
      <c r="IR20" s="180"/>
      <c r="IS20" s="180"/>
      <c r="IT20" s="180"/>
      <c r="IU20" s="180"/>
      <c r="IV20" s="180"/>
      <c r="IW20" s="180"/>
      <c r="IX20" s="180"/>
      <c r="IY20" s="180"/>
      <c r="IZ20" s="180"/>
      <c r="JA20" s="180"/>
      <c r="JB20" s="180"/>
      <c r="JC20" s="180"/>
      <c r="JD20" s="180"/>
      <c r="JE20" s="180"/>
      <c r="JF20" s="180"/>
      <c r="JG20" s="180"/>
      <c r="JH20" s="180"/>
      <c r="JI20" s="180"/>
      <c r="JJ20" s="180"/>
      <c r="JK20" s="180"/>
      <c r="JL20" s="180"/>
      <c r="JM20" s="180"/>
      <c r="JN20" s="180"/>
      <c r="JO20" s="180"/>
      <c r="JP20" s="180"/>
      <c r="JQ20" s="180"/>
      <c r="JR20" s="180"/>
      <c r="JS20" s="180"/>
      <c r="JT20" s="180"/>
    </row>
    <row r="21" spans="1:281" ht="20.100000000000001" customHeight="1" x14ac:dyDescent="0.25">
      <c r="A21" s="100" t="s">
        <v>18</v>
      </c>
      <c r="B21" s="63" t="str">
        <f>IF(LEN(C27)=0,"",C27)</f>
        <v>remplissage des labels grace au bouton</v>
      </c>
      <c r="C21" s="193" t="s">
        <v>48</v>
      </c>
      <c r="D21" s="146" t="str">
        <f t="shared" si="0"/>
        <v>12h55min</v>
      </c>
      <c r="E21" s="31">
        <v>155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32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37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90"/>
    </row>
    <row r="22" spans="1:281" ht="20.100000000000001" customHeight="1" x14ac:dyDescent="0.25">
      <c r="A22" s="100" t="s">
        <v>19</v>
      </c>
      <c r="B22" s="63" t="str">
        <f>IF(LEN(C29)=0,"",C29)</f>
        <v>création du code secret</v>
      </c>
      <c r="C22" s="195"/>
      <c r="D22" s="147" t="str">
        <f t="shared" si="0"/>
        <v>8h</v>
      </c>
      <c r="E22" s="35">
        <v>96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37"/>
      <c r="AA22" s="37"/>
      <c r="AB22" s="37"/>
      <c r="AC22" s="138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3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167"/>
      <c r="DW22" s="168"/>
      <c r="DX22" s="168"/>
      <c r="DY22" s="168"/>
      <c r="DZ22" s="169"/>
      <c r="EA22" s="170"/>
      <c r="EB22" s="169"/>
      <c r="EC22" s="169"/>
      <c r="ED22" s="169"/>
      <c r="EE22" s="169"/>
      <c r="EF22" s="169"/>
      <c r="EG22" s="171"/>
      <c r="EH22" s="169"/>
      <c r="EI22" s="169"/>
      <c r="EJ22" s="169"/>
      <c r="EK22" s="169"/>
      <c r="EL22" s="169"/>
      <c r="EM22" s="172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166"/>
      <c r="GE22" s="165"/>
      <c r="GF22" s="165"/>
      <c r="GG22" s="165"/>
      <c r="GH22" s="165"/>
      <c r="GI22" s="165"/>
      <c r="GJ22" s="165"/>
      <c r="GK22" s="165"/>
      <c r="GL22" s="165"/>
      <c r="GM22" s="165"/>
      <c r="GN22" s="165"/>
      <c r="GO22" s="165"/>
      <c r="GP22" s="165"/>
      <c r="GQ22" s="165"/>
      <c r="GR22" s="165"/>
      <c r="GS22" s="165"/>
      <c r="GT22" s="165"/>
      <c r="GU22" s="165"/>
      <c r="GV22" s="180"/>
      <c r="GW22" s="180"/>
      <c r="GX22" s="180"/>
      <c r="GY22" s="180"/>
      <c r="GZ22" s="180"/>
      <c r="HA22" s="180"/>
      <c r="HB22" s="180"/>
      <c r="HC22" s="180"/>
      <c r="HD22" s="180"/>
      <c r="HE22" s="180"/>
      <c r="HF22" s="180"/>
      <c r="HG22" s="180"/>
      <c r="HH22" s="180"/>
      <c r="HI22" s="180"/>
      <c r="HJ22" s="180"/>
      <c r="HK22" s="180"/>
      <c r="HL22" s="180"/>
      <c r="HM22" s="180"/>
      <c r="HN22" s="180"/>
      <c r="HO22" s="180"/>
      <c r="HP22" s="180"/>
      <c r="HQ22" s="180"/>
      <c r="HR22" s="180"/>
      <c r="HS22" s="180"/>
      <c r="HT22" s="180"/>
      <c r="HU22" s="180"/>
      <c r="HV22" s="180"/>
      <c r="HW22" s="180"/>
      <c r="HX22" s="180"/>
      <c r="HY22" s="180"/>
      <c r="HZ22" s="180"/>
      <c r="IA22" s="180"/>
      <c r="IB22" s="180"/>
      <c r="IC22" s="180"/>
      <c r="ID22" s="180"/>
      <c r="IE22" s="180"/>
      <c r="IF22" s="180"/>
      <c r="IG22" s="180"/>
      <c r="IH22" s="180"/>
      <c r="II22" s="180"/>
      <c r="IJ22" s="180"/>
      <c r="IK22" s="180"/>
      <c r="IL22" s="180"/>
      <c r="IM22" s="180"/>
      <c r="IN22" s="180"/>
      <c r="IO22" s="180"/>
      <c r="IP22" s="180"/>
      <c r="IQ22" s="180"/>
      <c r="IR22" s="180"/>
      <c r="IS22" s="180"/>
      <c r="IT22" s="180"/>
      <c r="IU22" s="180"/>
      <c r="IV22" s="180"/>
      <c r="IW22" s="180"/>
      <c r="IX22" s="180"/>
      <c r="IY22" s="180"/>
      <c r="IZ22" s="180"/>
      <c r="JA22" s="180"/>
      <c r="JB22" s="180"/>
      <c r="JC22" s="180"/>
      <c r="JD22" s="180"/>
      <c r="JE22" s="180"/>
      <c r="JF22" s="180"/>
      <c r="JG22" s="180"/>
      <c r="JH22" s="180"/>
      <c r="JI22" s="180"/>
      <c r="JJ22" s="180"/>
      <c r="JK22" s="180"/>
      <c r="JL22" s="180"/>
      <c r="JM22" s="180"/>
      <c r="JN22" s="180"/>
      <c r="JO22" s="180"/>
      <c r="JP22" s="180"/>
      <c r="JQ22" s="180"/>
      <c r="JR22" s="180"/>
      <c r="JS22" s="180"/>
      <c r="JT22" s="180"/>
    </row>
    <row r="23" spans="1:281" ht="20.100000000000001" customHeight="1" x14ac:dyDescent="0.25">
      <c r="A23" s="100" t="s">
        <v>18</v>
      </c>
      <c r="B23" s="63" t="str">
        <f>IF(LEN(C31)=0,"",C31)</f>
        <v>check des bonnes couleurs aux bons endroits</v>
      </c>
      <c r="C23" s="193" t="s">
        <v>49</v>
      </c>
      <c r="D23" s="146" t="str">
        <f t="shared" si="0"/>
        <v>12h55min</v>
      </c>
      <c r="E23" s="39">
        <v>155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90"/>
    </row>
    <row r="24" spans="1:281" ht="20.100000000000001" customHeight="1" x14ac:dyDescent="0.25">
      <c r="A24" s="100" t="s">
        <v>19</v>
      </c>
      <c r="B24" s="63" t="str">
        <f>IF(LEN(C33)=0,"",C33)</f>
        <v xml:space="preserve">dooublons et bonne couleurs aux mauvais endroit bon </v>
      </c>
      <c r="C24" s="195"/>
      <c r="D24" s="147" t="str">
        <f t="shared" si="0"/>
        <v>6h30min</v>
      </c>
      <c r="E24" s="27">
        <v>78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173"/>
      <c r="EO24" s="173"/>
      <c r="EP24" s="173"/>
      <c r="EQ24" s="173"/>
      <c r="ER24" s="173"/>
      <c r="ES24" s="174"/>
      <c r="ET24" s="173"/>
      <c r="EU24" s="173"/>
      <c r="EV24" s="173"/>
      <c r="EW24" s="173"/>
      <c r="EX24" s="173"/>
      <c r="EY24" s="175"/>
      <c r="EZ24" s="176"/>
      <c r="FA24" s="176"/>
      <c r="FB24" s="176"/>
      <c r="FC24" s="176"/>
      <c r="FD24" s="173"/>
      <c r="FE24" s="174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179"/>
      <c r="GE24" s="180"/>
      <c r="GF24" s="180"/>
      <c r="GG24" s="180"/>
      <c r="GH24" s="180"/>
      <c r="GI24" s="180"/>
      <c r="GJ24" s="180"/>
      <c r="GK24" s="180"/>
      <c r="GL24" s="180"/>
      <c r="GM24" s="180"/>
      <c r="GN24" s="180"/>
      <c r="GO24" s="180"/>
      <c r="GP24" s="180"/>
      <c r="GQ24" s="180"/>
      <c r="GR24" s="180"/>
      <c r="GS24" s="180"/>
      <c r="GT24" s="180"/>
      <c r="GU24" s="180"/>
      <c r="GV24" s="180"/>
      <c r="GW24" s="180"/>
      <c r="GX24" s="180"/>
      <c r="GY24" s="180"/>
      <c r="GZ24" s="180"/>
      <c r="HA24" s="180"/>
      <c r="HB24" s="180"/>
      <c r="HC24" s="180"/>
      <c r="HD24" s="180"/>
      <c r="HE24" s="180"/>
      <c r="HF24" s="180"/>
      <c r="HG24" s="180"/>
      <c r="HH24" s="180"/>
      <c r="HI24" s="180"/>
      <c r="HJ24" s="180"/>
      <c r="HK24" s="180"/>
      <c r="HL24" s="180"/>
      <c r="HM24" s="180"/>
      <c r="HN24" s="180"/>
      <c r="HO24" s="180"/>
      <c r="HP24" s="180"/>
      <c r="HQ24" s="180"/>
      <c r="HR24" s="180"/>
      <c r="HS24" s="180"/>
      <c r="HT24" s="180"/>
      <c r="HU24" s="180"/>
      <c r="HV24" s="180"/>
      <c r="HW24" s="180"/>
      <c r="HX24" s="180"/>
      <c r="HY24" s="180"/>
      <c r="HZ24" s="180"/>
      <c r="IA24" s="180"/>
      <c r="IB24" s="180"/>
      <c r="IC24" s="180"/>
      <c r="ID24" s="180"/>
      <c r="IE24" s="180"/>
      <c r="IF24" s="180"/>
      <c r="IG24" s="180"/>
      <c r="IH24" s="180"/>
      <c r="II24" s="180"/>
      <c r="IJ24" s="180"/>
      <c r="IK24" s="180"/>
      <c r="IL24" s="180"/>
      <c r="IM24" s="180"/>
      <c r="IN24" s="180"/>
      <c r="IO24" s="180"/>
      <c r="IP24" s="180"/>
      <c r="IQ24" s="180"/>
      <c r="IR24" s="180"/>
      <c r="IS24" s="180"/>
      <c r="IT24" s="180"/>
      <c r="IU24" s="180"/>
      <c r="IV24" s="180"/>
      <c r="IW24" s="180"/>
      <c r="IX24" s="180"/>
      <c r="IY24" s="180"/>
      <c r="IZ24" s="180"/>
      <c r="JA24" s="180"/>
      <c r="JB24" s="180"/>
      <c r="JC24" s="180"/>
      <c r="JD24" s="180"/>
      <c r="JE24" s="180"/>
      <c r="JF24" s="180"/>
      <c r="JG24" s="180"/>
      <c r="JH24" s="180"/>
      <c r="JI24" s="180"/>
      <c r="JJ24" s="180"/>
      <c r="JK24" s="180"/>
      <c r="JL24" s="180"/>
      <c r="JM24" s="180"/>
      <c r="JN24" s="180"/>
      <c r="JO24" s="180"/>
      <c r="JP24" s="180"/>
      <c r="JQ24" s="180"/>
      <c r="JR24" s="180"/>
      <c r="JS24" s="180"/>
      <c r="JT24" s="180"/>
    </row>
    <row r="25" spans="1:281" ht="20.100000000000001" customHeight="1" x14ac:dyDescent="0.25">
      <c r="A25" s="100" t="s">
        <v>18</v>
      </c>
      <c r="B25" s="63" t="str">
        <f>IF(LEN(C35)=0,"",C35)</f>
        <v>form de victoire</v>
      </c>
      <c r="C25" s="193" t="s">
        <v>53</v>
      </c>
      <c r="D25" s="146" t="str">
        <f t="shared" si="0"/>
        <v>12h55min</v>
      </c>
      <c r="E25" s="31">
        <v>155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90"/>
    </row>
    <row r="26" spans="1:281" ht="20.100000000000001" customHeight="1" x14ac:dyDescent="0.3">
      <c r="A26" s="100" t="s">
        <v>19</v>
      </c>
      <c r="B26" s="63" t="str">
        <f>IF(LEN(C37)=0,"",C37)</f>
        <v/>
      </c>
      <c r="C26" s="194"/>
      <c r="D26" s="148" t="str">
        <f t="shared" si="0"/>
        <v>6h30min</v>
      </c>
      <c r="E26" s="35">
        <v>78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179"/>
      <c r="GE26" s="180"/>
      <c r="GF26" s="180"/>
      <c r="GG26" s="180"/>
      <c r="GH26" s="180"/>
      <c r="GI26" s="180"/>
      <c r="GJ26" s="180"/>
      <c r="GK26" s="180"/>
      <c r="GL26" s="180"/>
      <c r="GM26" s="180"/>
      <c r="GN26" s="180"/>
      <c r="GO26" s="180"/>
      <c r="GP26" s="180"/>
      <c r="GQ26" s="180"/>
      <c r="GR26" s="180"/>
      <c r="GS26" s="180"/>
      <c r="GT26" s="180"/>
      <c r="GU26" s="180"/>
      <c r="GV26" s="165"/>
      <c r="GW26" s="165"/>
      <c r="GX26" s="165"/>
      <c r="GY26" s="165"/>
      <c r="GZ26" s="165"/>
      <c r="HA26" s="165"/>
      <c r="HB26" s="165"/>
      <c r="HC26" s="165"/>
      <c r="HD26" s="165"/>
      <c r="HE26" s="165"/>
      <c r="HF26" s="165"/>
      <c r="HG26" s="165"/>
      <c r="HH26" s="165"/>
      <c r="HI26" s="165"/>
      <c r="HJ26" s="165"/>
      <c r="HK26" s="165"/>
      <c r="HL26" s="165"/>
      <c r="HM26" s="165"/>
      <c r="HN26" s="180"/>
      <c r="HO26" s="180"/>
      <c r="HP26" s="180"/>
      <c r="HQ26" s="180"/>
      <c r="HR26" s="180"/>
      <c r="HS26" s="180"/>
      <c r="HT26" s="180"/>
      <c r="HU26" s="180"/>
      <c r="HV26" s="180"/>
      <c r="HW26" s="180"/>
      <c r="HX26" s="180"/>
      <c r="HY26" s="180"/>
      <c r="HZ26" s="180"/>
      <c r="IA26" s="180"/>
      <c r="IB26" s="180"/>
      <c r="IC26" s="180"/>
      <c r="ID26" s="180"/>
      <c r="IE26" s="180"/>
      <c r="IF26" s="180"/>
      <c r="IG26" s="180"/>
      <c r="IH26" s="180"/>
      <c r="II26" s="180"/>
      <c r="IJ26" s="180"/>
      <c r="IK26" s="180"/>
      <c r="IL26" s="180"/>
      <c r="IM26" s="180"/>
      <c r="IN26" s="180"/>
      <c r="IO26" s="180"/>
      <c r="IP26" s="180"/>
      <c r="IQ26" s="180"/>
      <c r="IR26" s="180"/>
      <c r="IS26" s="180"/>
      <c r="IT26" s="180"/>
      <c r="IU26" s="180"/>
      <c r="IV26" s="180"/>
      <c r="IW26" s="180"/>
      <c r="IX26" s="180"/>
      <c r="IY26" s="180"/>
      <c r="IZ26" s="180"/>
      <c r="JA26" s="180"/>
      <c r="JB26" s="180"/>
      <c r="JC26" s="180"/>
      <c r="JD26" s="180"/>
      <c r="JE26" s="180"/>
      <c r="JF26" s="180"/>
      <c r="JG26" s="180"/>
      <c r="JH26" s="180"/>
      <c r="JI26" s="180"/>
      <c r="JJ26" s="180"/>
      <c r="JK26" s="180"/>
      <c r="JL26" s="180"/>
      <c r="JM26" s="180"/>
      <c r="JN26" s="180"/>
      <c r="JO26" s="180"/>
      <c r="JP26" s="180"/>
      <c r="JQ26" s="180"/>
      <c r="JR26" s="180"/>
      <c r="JS26" s="180"/>
      <c r="JT26" s="180"/>
    </row>
    <row r="27" spans="1:281" ht="20.100000000000001" customHeight="1" x14ac:dyDescent="0.25">
      <c r="A27" s="100" t="s">
        <v>18</v>
      </c>
      <c r="B27" s="63" t="str">
        <f>IF(LEN(C39)=0,"",C39)</f>
        <v/>
      </c>
      <c r="C27" s="193" t="s">
        <v>55</v>
      </c>
      <c r="D27" s="146" t="str">
        <f t="shared" si="0"/>
        <v>12h55min</v>
      </c>
      <c r="E27" s="39">
        <v>155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90"/>
    </row>
    <row r="28" spans="1:281" ht="20.100000000000001" customHeight="1" x14ac:dyDescent="0.3">
      <c r="A28" s="100" t="s">
        <v>19</v>
      </c>
      <c r="B28" s="63" t="str">
        <f>IF(LEN(C41)=0,"",C41)</f>
        <v/>
      </c>
      <c r="C28" s="194"/>
      <c r="D28" s="148" t="str">
        <f t="shared" si="0"/>
        <v>6h30min</v>
      </c>
      <c r="E28" s="27">
        <v>78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179"/>
      <c r="GE28" s="180"/>
      <c r="GF28" s="180"/>
      <c r="GG28" s="180"/>
      <c r="GH28" s="180"/>
      <c r="GI28" s="180"/>
      <c r="GJ28" s="180"/>
      <c r="GK28" s="180"/>
      <c r="GL28" s="180"/>
      <c r="GM28" s="180"/>
      <c r="GN28" s="180"/>
      <c r="GO28" s="180"/>
      <c r="GP28" s="180"/>
      <c r="GQ28" s="180"/>
      <c r="GR28" s="180"/>
      <c r="GS28" s="180"/>
      <c r="GT28" s="180"/>
      <c r="GU28" s="180"/>
      <c r="GV28" s="180"/>
      <c r="GW28" s="180"/>
      <c r="GX28" s="180"/>
      <c r="GY28" s="180"/>
      <c r="GZ28" s="180"/>
      <c r="HA28" s="180"/>
      <c r="HB28" s="180"/>
      <c r="HC28" s="180"/>
      <c r="HD28" s="180"/>
      <c r="HE28" s="180"/>
      <c r="HF28" s="180"/>
      <c r="HG28" s="180"/>
      <c r="HH28" s="180"/>
      <c r="HI28" s="180"/>
      <c r="HJ28" s="180"/>
      <c r="HK28" s="180"/>
      <c r="HL28" s="180"/>
      <c r="HM28" s="180"/>
      <c r="HN28" s="180"/>
      <c r="HO28" s="180"/>
      <c r="HP28" s="180"/>
      <c r="HQ28" s="180"/>
      <c r="HR28" s="180"/>
      <c r="HS28" s="180"/>
      <c r="HT28" s="180"/>
      <c r="HU28" s="180"/>
      <c r="HV28" s="180"/>
      <c r="HW28" s="180"/>
      <c r="HX28" s="180"/>
      <c r="HY28" s="180"/>
      <c r="HZ28" s="180"/>
      <c r="IA28" s="180"/>
      <c r="IB28" s="180"/>
      <c r="IC28" s="180"/>
      <c r="ID28" s="180"/>
      <c r="IE28" s="180"/>
      <c r="IF28" s="180"/>
      <c r="IG28" s="180"/>
      <c r="IH28" s="180"/>
      <c r="II28" s="180"/>
      <c r="IJ28" s="180"/>
      <c r="IK28" s="180"/>
      <c r="IL28" s="165"/>
      <c r="IM28" s="165"/>
      <c r="IN28" s="165"/>
      <c r="IO28" s="165"/>
      <c r="IP28" s="165"/>
      <c r="IQ28" s="165"/>
      <c r="IR28" s="165"/>
      <c r="IS28" s="165"/>
      <c r="IT28" s="165"/>
      <c r="IU28" s="165"/>
      <c r="IV28" s="165"/>
      <c r="IW28" s="165"/>
      <c r="IX28" s="165"/>
      <c r="IY28" s="165"/>
      <c r="IZ28" s="165"/>
      <c r="JA28" s="165"/>
      <c r="JB28" s="165"/>
      <c r="JC28" s="165"/>
      <c r="JD28" s="180"/>
      <c r="JE28" s="180"/>
      <c r="JF28" s="180"/>
      <c r="JG28" s="180"/>
      <c r="JH28" s="180"/>
      <c r="JI28" s="180"/>
      <c r="JJ28" s="180"/>
      <c r="JK28" s="180"/>
      <c r="JL28" s="180"/>
      <c r="JM28" s="180"/>
      <c r="JN28" s="180"/>
      <c r="JO28" s="180"/>
      <c r="JP28" s="180"/>
      <c r="JQ28" s="180"/>
      <c r="JR28" s="180"/>
      <c r="JS28" s="180"/>
      <c r="JT28" s="180"/>
    </row>
    <row r="29" spans="1:281" ht="20.100000000000001" customHeight="1" x14ac:dyDescent="0.25">
      <c r="A29" s="100" t="s">
        <v>18</v>
      </c>
      <c r="B29" s="63" t="str">
        <f>IF(LEN(C43)=0,"",C43)</f>
        <v/>
      </c>
      <c r="C29" s="193" t="s">
        <v>56</v>
      </c>
      <c r="D29" s="146" t="str">
        <f t="shared" si="0"/>
        <v>12h55min</v>
      </c>
      <c r="E29" s="31">
        <v>155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90"/>
    </row>
    <row r="30" spans="1:281" ht="20.100000000000001" customHeight="1" x14ac:dyDescent="0.3">
      <c r="A30" s="100" t="s">
        <v>19</v>
      </c>
      <c r="B30" s="63" t="str">
        <f>IF(LEN(C45)=0,"",C45)</f>
        <v/>
      </c>
      <c r="C30" s="194"/>
      <c r="D30" s="148" t="str">
        <f t="shared" si="0"/>
        <v>5h30min</v>
      </c>
      <c r="E30" s="35">
        <v>66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179"/>
      <c r="GE30" s="180"/>
      <c r="GF30" s="180"/>
      <c r="GG30" s="180"/>
      <c r="GH30" s="180"/>
      <c r="GI30" s="180"/>
      <c r="GJ30" s="180"/>
      <c r="GK30" s="180"/>
      <c r="GL30" s="180"/>
      <c r="GM30" s="180"/>
      <c r="GN30" s="180"/>
      <c r="GO30" s="180"/>
      <c r="GP30" s="180"/>
      <c r="GQ30" s="180"/>
      <c r="GR30" s="180"/>
      <c r="GS30" s="180"/>
      <c r="GT30" s="180"/>
      <c r="GU30" s="180"/>
      <c r="GV30" s="180"/>
      <c r="GW30" s="180"/>
      <c r="GX30" s="180"/>
      <c r="GY30" s="180"/>
      <c r="GZ30" s="180"/>
      <c r="HA30" s="180"/>
      <c r="HB30" s="180"/>
      <c r="HC30" s="180"/>
      <c r="HD30" s="180"/>
      <c r="HE30" s="180"/>
      <c r="HF30" s="180"/>
      <c r="HG30" s="180"/>
      <c r="HH30" s="180"/>
      <c r="HI30" s="180"/>
      <c r="HJ30" s="180"/>
      <c r="HK30" s="180"/>
      <c r="HL30" s="180"/>
      <c r="HM30" s="180"/>
      <c r="HN30" s="180"/>
      <c r="HO30" s="180"/>
      <c r="HP30" s="180"/>
      <c r="HQ30" s="180"/>
      <c r="HR30" s="180"/>
      <c r="HS30" s="180"/>
      <c r="HT30" s="180"/>
      <c r="HU30" s="180"/>
      <c r="HV30" s="180"/>
      <c r="HW30" s="180"/>
      <c r="HX30" s="180"/>
      <c r="HY30" s="180"/>
      <c r="HZ30" s="180"/>
      <c r="IA30" s="180"/>
      <c r="IB30" s="180"/>
      <c r="IC30" s="180"/>
      <c r="ID30" s="180"/>
      <c r="IE30" s="180"/>
      <c r="IF30" s="180"/>
      <c r="IG30" s="180"/>
      <c r="IH30" s="180"/>
      <c r="II30" s="180"/>
      <c r="IJ30" s="180"/>
      <c r="IK30" s="180"/>
      <c r="IL30" s="180"/>
      <c r="IM30" s="180"/>
      <c r="IN30" s="180"/>
      <c r="IO30" s="180"/>
      <c r="IP30" s="180"/>
      <c r="IQ30" s="180"/>
      <c r="IR30" s="180"/>
      <c r="IS30" s="180"/>
      <c r="IT30" s="180"/>
      <c r="IU30" s="180"/>
      <c r="IV30" s="180"/>
      <c r="IW30" s="180"/>
      <c r="IX30" s="180"/>
      <c r="IY30" s="180"/>
      <c r="IZ30" s="180"/>
      <c r="JA30" s="180"/>
      <c r="JB30" s="180"/>
      <c r="JC30" s="180"/>
      <c r="JD30" s="165"/>
      <c r="JE30" s="165"/>
      <c r="JF30" s="165"/>
      <c r="JG30" s="165"/>
      <c r="JH30" s="165"/>
      <c r="JI30" s="165"/>
      <c r="JJ30" s="180"/>
      <c r="JK30" s="180"/>
      <c r="JL30" s="180"/>
      <c r="JM30" s="180"/>
      <c r="JN30" s="180"/>
      <c r="JO30" s="180"/>
      <c r="JP30" s="180"/>
      <c r="JQ30" s="180"/>
      <c r="JR30" s="180"/>
      <c r="JS30" s="180"/>
      <c r="JT30" s="180"/>
    </row>
    <row r="31" spans="1:281" ht="20.100000000000001" customHeight="1" x14ac:dyDescent="0.25">
      <c r="A31" s="100" t="s">
        <v>18</v>
      </c>
      <c r="B31" s="63" t="str">
        <f>IF(LEN(C47)=0,"",C47)</f>
        <v/>
      </c>
      <c r="C31" s="193" t="s">
        <v>57</v>
      </c>
      <c r="D31" s="146" t="str">
        <f t="shared" si="0"/>
        <v>12h55min</v>
      </c>
      <c r="E31" s="39">
        <v>155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90"/>
    </row>
    <row r="32" spans="1:281" ht="20.100000000000001" customHeight="1" x14ac:dyDescent="0.3">
      <c r="A32" s="100" t="s">
        <v>19</v>
      </c>
      <c r="B32" s="63" t="str">
        <f>IF(LEN(C49)=0,"",C49)</f>
        <v/>
      </c>
      <c r="C32" s="194"/>
      <c r="D32" s="148" t="str">
        <f t="shared" si="0"/>
        <v>5h55min</v>
      </c>
      <c r="E32" s="27">
        <v>71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179"/>
      <c r="GE32" s="180"/>
      <c r="GF32" s="180"/>
      <c r="GG32" s="180"/>
      <c r="GH32" s="180"/>
      <c r="GI32" s="180"/>
      <c r="GJ32" s="180"/>
      <c r="GK32" s="180"/>
      <c r="GL32" s="180"/>
      <c r="GM32" s="180"/>
      <c r="GN32" s="180"/>
      <c r="GO32" s="180"/>
      <c r="GP32" s="180"/>
      <c r="GQ32" s="180"/>
      <c r="GR32" s="180"/>
      <c r="GS32" s="180"/>
      <c r="GT32" s="180"/>
      <c r="GU32" s="180"/>
      <c r="GV32" s="180"/>
      <c r="GW32" s="180"/>
      <c r="GX32" s="180"/>
      <c r="GY32" s="180"/>
      <c r="GZ32" s="180"/>
      <c r="HA32" s="180"/>
      <c r="HB32" s="180"/>
      <c r="HC32" s="180"/>
      <c r="HD32" s="180"/>
      <c r="HE32" s="180"/>
      <c r="HF32" s="180"/>
      <c r="HG32" s="180"/>
      <c r="HH32" s="180"/>
      <c r="HI32" s="180"/>
      <c r="HJ32" s="180"/>
      <c r="HK32" s="180"/>
      <c r="HL32" s="180"/>
      <c r="HM32" s="180"/>
      <c r="HN32" s="180"/>
      <c r="HO32" s="180"/>
      <c r="HP32" s="180"/>
      <c r="HQ32" s="180"/>
      <c r="HR32" s="180"/>
      <c r="HS32" s="180"/>
      <c r="HT32" s="180"/>
      <c r="HU32" s="180"/>
      <c r="HV32" s="180"/>
      <c r="HW32" s="180"/>
      <c r="HX32" s="180"/>
      <c r="HY32" s="180"/>
      <c r="HZ32" s="180"/>
      <c r="IA32" s="180"/>
      <c r="IB32" s="180"/>
      <c r="IC32" s="180"/>
      <c r="ID32" s="180"/>
      <c r="IE32" s="180"/>
      <c r="IF32" s="180"/>
      <c r="IG32" s="180"/>
      <c r="IH32" s="180"/>
      <c r="II32" s="180"/>
      <c r="IJ32" s="180"/>
      <c r="IK32" s="180"/>
      <c r="IL32" s="180"/>
      <c r="IM32" s="180"/>
      <c r="IN32" s="180"/>
      <c r="IO32" s="180"/>
      <c r="IP32" s="180"/>
      <c r="IQ32" s="180"/>
      <c r="IR32" s="180"/>
      <c r="IS32" s="180"/>
      <c r="IT32" s="180"/>
      <c r="IU32" s="180"/>
      <c r="IV32" s="180"/>
      <c r="IW32" s="180"/>
      <c r="IX32" s="180"/>
      <c r="IY32" s="180"/>
      <c r="IZ32" s="180"/>
      <c r="JA32" s="180"/>
      <c r="JB32" s="180"/>
      <c r="JC32" s="180"/>
      <c r="JD32" s="180"/>
      <c r="JE32" s="180"/>
      <c r="JF32" s="180"/>
      <c r="JG32" s="180"/>
      <c r="JH32" s="180"/>
      <c r="JI32" s="180"/>
      <c r="JJ32" s="165"/>
      <c r="JK32" s="165"/>
      <c r="JL32" s="165"/>
      <c r="JM32" s="165"/>
      <c r="JN32" s="165"/>
      <c r="JO32" s="165"/>
      <c r="JP32" s="165"/>
      <c r="JQ32" s="165"/>
      <c r="JR32" s="165"/>
      <c r="JS32" s="165"/>
      <c r="JT32" s="165"/>
      <c r="JU32" s="165"/>
    </row>
    <row r="33" spans="1:341" ht="20.100000000000001" customHeight="1" x14ac:dyDescent="0.25">
      <c r="A33" s="100" t="s">
        <v>18</v>
      </c>
      <c r="B33" s="63" t="str">
        <f>IF(LEN(C51)=0,"",C51)</f>
        <v/>
      </c>
      <c r="C33" s="193" t="s">
        <v>58</v>
      </c>
      <c r="D33" s="146" t="str">
        <f t="shared" si="0"/>
        <v>12h55min</v>
      </c>
      <c r="E33" s="31">
        <v>155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90"/>
    </row>
    <row r="34" spans="1:341" ht="20.100000000000001" customHeight="1" x14ac:dyDescent="0.3">
      <c r="A34" s="100" t="s">
        <v>19</v>
      </c>
      <c r="B34" s="63" t="str">
        <f>IF(LEN(C53)=0,"",C53)</f>
        <v/>
      </c>
      <c r="C34" s="194"/>
      <c r="D34" s="148" t="str">
        <f t="shared" si="0"/>
        <v>5h</v>
      </c>
      <c r="E34" s="35">
        <v>60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179"/>
      <c r="GE34" s="180"/>
      <c r="GF34" s="180"/>
      <c r="GG34" s="180"/>
      <c r="GH34" s="180"/>
      <c r="GI34" s="180"/>
      <c r="GJ34" s="180"/>
      <c r="GK34" s="180"/>
      <c r="GL34" s="180"/>
      <c r="GM34" s="180"/>
      <c r="GN34" s="180"/>
      <c r="GO34" s="180"/>
      <c r="GP34" s="180"/>
      <c r="GQ34" s="180"/>
      <c r="GR34" s="180"/>
      <c r="GS34" s="180"/>
      <c r="GT34" s="180"/>
      <c r="GU34" s="180"/>
      <c r="GV34" s="180"/>
      <c r="GW34" s="180"/>
      <c r="GX34" s="180"/>
      <c r="GY34" s="180"/>
      <c r="GZ34" s="180"/>
      <c r="HA34" s="180"/>
      <c r="HB34" s="180"/>
      <c r="HC34" s="180"/>
      <c r="HD34" s="180"/>
      <c r="HE34" s="180"/>
      <c r="HF34" s="180"/>
      <c r="HG34" s="180"/>
      <c r="HH34" s="180"/>
      <c r="HI34" s="180"/>
      <c r="HJ34" s="180"/>
      <c r="HK34" s="180"/>
      <c r="HL34" s="180"/>
      <c r="HM34" s="180"/>
      <c r="HN34" s="180"/>
      <c r="HO34" s="180"/>
      <c r="HP34" s="180"/>
      <c r="HQ34" s="180"/>
      <c r="HR34" s="180"/>
      <c r="HS34" s="180"/>
      <c r="HT34" s="180"/>
      <c r="HU34" s="180"/>
      <c r="HV34" s="180"/>
      <c r="HW34" s="180"/>
      <c r="HX34" s="180"/>
      <c r="HY34" s="180"/>
      <c r="HZ34" s="180"/>
      <c r="IA34" s="180"/>
      <c r="IB34" s="180"/>
      <c r="IC34" s="180"/>
      <c r="ID34" s="180"/>
      <c r="IE34" s="180"/>
      <c r="IF34" s="180"/>
      <c r="IG34" s="180"/>
      <c r="IH34" s="180"/>
      <c r="II34" s="180"/>
      <c r="IJ34" s="180"/>
      <c r="IK34" s="180"/>
      <c r="IL34" s="180"/>
      <c r="IM34" s="180"/>
      <c r="IN34" s="180"/>
      <c r="IO34" s="180"/>
      <c r="IP34" s="180"/>
      <c r="IQ34" s="180"/>
      <c r="IR34" s="180"/>
      <c r="IS34" s="180"/>
      <c r="IT34" s="180"/>
      <c r="IU34" s="180"/>
      <c r="IV34" s="180"/>
      <c r="IW34" s="180"/>
      <c r="IX34" s="180"/>
      <c r="IY34" s="180"/>
      <c r="IZ34" s="180"/>
      <c r="JA34" s="180"/>
      <c r="JB34" s="180"/>
      <c r="JC34" s="180"/>
      <c r="JD34" s="180"/>
      <c r="JE34" s="180"/>
      <c r="JF34" s="180"/>
      <c r="JG34" s="180"/>
      <c r="JH34" s="180"/>
      <c r="JI34" s="180"/>
      <c r="JJ34" s="180"/>
      <c r="JK34" s="180"/>
      <c r="JL34" s="180"/>
      <c r="JM34" s="180"/>
      <c r="JN34" s="180"/>
      <c r="JO34" s="180"/>
      <c r="JP34" s="180"/>
      <c r="JQ34" s="180"/>
      <c r="JR34" s="180"/>
      <c r="JS34" s="180"/>
      <c r="JT34" s="180"/>
      <c r="KT34" s="165"/>
      <c r="KU34" s="165"/>
      <c r="KV34" s="165"/>
      <c r="KW34" s="165"/>
      <c r="KX34" s="165"/>
      <c r="KY34" s="165"/>
      <c r="KZ34" s="165"/>
      <c r="LA34" s="165"/>
      <c r="LB34" s="165"/>
      <c r="LC34" s="165"/>
      <c r="LD34" s="165"/>
      <c r="LE34" s="165"/>
      <c r="LF34" s="165"/>
      <c r="LG34" s="165"/>
      <c r="LH34" s="165"/>
      <c r="LI34" s="165"/>
      <c r="LJ34" s="165"/>
      <c r="LK34" s="165"/>
      <c r="LL34" s="165"/>
      <c r="LM34" s="165"/>
      <c r="LN34" s="165"/>
      <c r="LO34" s="165"/>
      <c r="LP34" s="165"/>
      <c r="LQ34" s="165"/>
      <c r="LR34" s="165"/>
      <c r="LS34" s="165"/>
      <c r="LT34" s="165"/>
    </row>
    <row r="35" spans="1:341" ht="20.100000000000001" customHeight="1" x14ac:dyDescent="0.25">
      <c r="A35" s="100" t="s">
        <v>18</v>
      </c>
      <c r="B35" s="63" t="str">
        <f>IF(LEN(C55)=0,"",C55)</f>
        <v/>
      </c>
      <c r="C35" s="193" t="s">
        <v>59</v>
      </c>
      <c r="D35" s="146" t="str">
        <f t="shared" si="0"/>
        <v>12h55min</v>
      </c>
      <c r="E35" s="39">
        <v>155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90"/>
    </row>
    <row r="36" spans="1:341" ht="20.100000000000001" customHeight="1" x14ac:dyDescent="0.25">
      <c r="A36" s="100" t="s">
        <v>19</v>
      </c>
      <c r="B36" s="63" t="str">
        <f>IF(LEN(C57)=0,"",C57)</f>
        <v/>
      </c>
      <c r="C36" s="195"/>
      <c r="D36" s="147" t="str">
        <f t="shared" si="0"/>
        <v>5h</v>
      </c>
      <c r="E36" s="27">
        <v>60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179"/>
      <c r="GE36" s="180"/>
      <c r="GF36" s="180"/>
      <c r="GG36" s="180"/>
      <c r="GH36" s="180"/>
      <c r="GI36" s="180"/>
      <c r="GJ36" s="180"/>
      <c r="GK36" s="180"/>
      <c r="GL36" s="180"/>
      <c r="GM36" s="180"/>
      <c r="GN36" s="180"/>
      <c r="GO36" s="180"/>
      <c r="GP36" s="180"/>
      <c r="GQ36" s="180"/>
      <c r="GR36" s="180"/>
      <c r="GS36" s="180"/>
      <c r="GT36" s="180"/>
      <c r="GU36" s="180"/>
      <c r="GV36" s="180"/>
      <c r="GW36" s="180"/>
      <c r="GX36" s="180"/>
      <c r="GY36" s="180"/>
      <c r="GZ36" s="180"/>
      <c r="HA36" s="180"/>
      <c r="HB36" s="180"/>
      <c r="HC36" s="180"/>
      <c r="HD36" s="180"/>
      <c r="HE36" s="180"/>
      <c r="HF36" s="180"/>
      <c r="HG36" s="180"/>
      <c r="HH36" s="180"/>
      <c r="HI36" s="180"/>
      <c r="HJ36" s="180"/>
      <c r="HK36" s="180"/>
      <c r="HL36" s="180"/>
      <c r="HM36" s="180"/>
      <c r="HN36" s="180"/>
      <c r="HO36" s="180"/>
      <c r="HP36" s="180"/>
      <c r="HQ36" s="180"/>
      <c r="HR36" s="180"/>
      <c r="HS36" s="180"/>
      <c r="HT36" s="180"/>
      <c r="HU36" s="180"/>
      <c r="HV36" s="180"/>
      <c r="HW36" s="180"/>
      <c r="HX36" s="180"/>
      <c r="HY36" s="180"/>
      <c r="HZ36" s="180"/>
      <c r="IA36" s="180"/>
      <c r="IB36" s="180"/>
      <c r="IC36" s="180"/>
      <c r="ID36" s="180"/>
      <c r="IE36" s="180"/>
      <c r="IF36" s="180"/>
      <c r="IG36" s="180"/>
      <c r="IH36" s="180"/>
      <c r="II36" s="180"/>
      <c r="IJ36" s="180"/>
      <c r="IK36" s="180"/>
      <c r="IL36" s="180"/>
      <c r="IM36" s="180"/>
      <c r="IN36" s="180"/>
      <c r="IO36" s="180"/>
      <c r="IP36" s="180"/>
      <c r="IQ36" s="180"/>
      <c r="IR36" s="180"/>
      <c r="IS36" s="180"/>
      <c r="IT36" s="180"/>
      <c r="IU36" s="180"/>
      <c r="IV36" s="180"/>
      <c r="IW36" s="180"/>
      <c r="IX36" s="180"/>
      <c r="IY36" s="180"/>
      <c r="IZ36" s="180"/>
      <c r="JA36" s="180"/>
      <c r="JB36" s="180"/>
      <c r="JC36" s="180"/>
      <c r="JD36" s="180"/>
      <c r="JE36" s="180"/>
      <c r="JF36" s="180"/>
      <c r="JG36" s="180"/>
      <c r="JH36" s="180"/>
      <c r="JI36" s="180"/>
      <c r="JJ36" s="180"/>
      <c r="JK36" s="180"/>
      <c r="JL36" s="180"/>
      <c r="JM36" s="180"/>
      <c r="JN36" s="180"/>
      <c r="JO36" s="180"/>
      <c r="JP36" s="180"/>
      <c r="JQ36" s="180"/>
      <c r="JR36" s="180"/>
      <c r="JS36" s="180"/>
      <c r="JT36" s="180"/>
      <c r="LU36" s="165"/>
      <c r="LV36" s="165"/>
      <c r="LW36" s="165"/>
      <c r="LX36" s="165"/>
      <c r="LY36" s="165"/>
      <c r="LZ36" s="165"/>
      <c r="MA36" s="165"/>
      <c r="MB36" s="165"/>
      <c r="MC36" s="165"/>
    </row>
    <row r="37" spans="1:341" ht="20.100000000000001" customHeight="1" x14ac:dyDescent="0.25">
      <c r="A37" s="100" t="s">
        <v>18</v>
      </c>
      <c r="B37" s="63" t="str">
        <f>IF(LEN(C59)=0,"",C59)</f>
        <v/>
      </c>
      <c r="C37" s="193"/>
      <c r="D37" s="146" t="str">
        <f t="shared" si="0"/>
        <v>12h55min</v>
      </c>
      <c r="E37" s="31">
        <v>155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90"/>
    </row>
    <row r="38" spans="1:341" ht="20.100000000000001" customHeight="1" x14ac:dyDescent="0.3">
      <c r="A38" s="100" t="s">
        <v>19</v>
      </c>
      <c r="B38" s="63" t="str">
        <f>IF(LEN(C61)=0,"",C61)</f>
        <v/>
      </c>
      <c r="C38" s="194"/>
      <c r="D38" s="148" t="str">
        <f t="shared" si="0"/>
        <v>5h</v>
      </c>
      <c r="E38" s="35">
        <v>60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179"/>
      <c r="GE38" s="180"/>
      <c r="GF38" s="180"/>
      <c r="GG38" s="180"/>
      <c r="GH38" s="180"/>
      <c r="GI38" s="180"/>
      <c r="GJ38" s="180"/>
      <c r="GK38" s="180"/>
      <c r="GL38" s="180"/>
      <c r="GM38" s="180"/>
      <c r="GN38" s="180"/>
      <c r="GO38" s="180"/>
      <c r="GP38" s="180"/>
      <c r="GQ38" s="180"/>
      <c r="GR38" s="180"/>
      <c r="GS38" s="180"/>
      <c r="GT38" s="180"/>
      <c r="GU38" s="180"/>
      <c r="GV38" s="180"/>
      <c r="GW38" s="180"/>
      <c r="GX38" s="180"/>
      <c r="GY38" s="180"/>
      <c r="GZ38" s="180"/>
      <c r="HA38" s="180"/>
      <c r="HB38" s="180"/>
      <c r="HC38" s="180"/>
      <c r="HD38" s="180"/>
      <c r="HE38" s="180"/>
      <c r="HF38" s="180"/>
      <c r="HG38" s="180"/>
      <c r="HH38" s="180"/>
      <c r="HI38" s="180"/>
      <c r="HJ38" s="180"/>
      <c r="HK38" s="180"/>
      <c r="HL38" s="180"/>
      <c r="HM38" s="180"/>
      <c r="HN38" s="180"/>
      <c r="HO38" s="180"/>
      <c r="HP38" s="180"/>
      <c r="HQ38" s="180"/>
      <c r="HR38" s="180"/>
      <c r="HS38" s="180"/>
      <c r="HT38" s="180"/>
      <c r="HU38" s="180"/>
      <c r="HV38" s="180"/>
      <c r="HW38" s="180"/>
      <c r="HX38" s="180"/>
      <c r="HY38" s="180"/>
      <c r="HZ38" s="180"/>
      <c r="IA38" s="180"/>
      <c r="IB38" s="180"/>
      <c r="IC38" s="180"/>
      <c r="ID38" s="180"/>
      <c r="IE38" s="180"/>
      <c r="IF38" s="180"/>
      <c r="IG38" s="180"/>
      <c r="IH38" s="180"/>
      <c r="II38" s="180"/>
      <c r="IJ38" s="180"/>
      <c r="IK38" s="180"/>
      <c r="IL38" s="180"/>
      <c r="IM38" s="180"/>
      <c r="IN38" s="180"/>
      <c r="IO38" s="180"/>
      <c r="IP38" s="180"/>
      <c r="IQ38" s="180"/>
      <c r="IR38" s="180"/>
      <c r="IS38" s="180"/>
      <c r="IT38" s="180"/>
      <c r="IU38" s="180"/>
      <c r="IV38" s="180"/>
      <c r="IW38" s="180"/>
      <c r="IX38" s="180"/>
      <c r="IY38" s="180"/>
      <c r="IZ38" s="180"/>
      <c r="JA38" s="180"/>
      <c r="JB38" s="180"/>
      <c r="JC38" s="180"/>
      <c r="JD38" s="180"/>
      <c r="JE38" s="180"/>
      <c r="JF38" s="180"/>
      <c r="JG38" s="180"/>
      <c r="JH38" s="180"/>
      <c r="JI38" s="180"/>
      <c r="JJ38" s="180"/>
      <c r="JK38" s="180"/>
      <c r="JL38" s="180"/>
      <c r="JM38" s="180"/>
      <c r="JN38" s="180"/>
      <c r="JO38" s="180"/>
      <c r="JP38" s="180"/>
      <c r="JQ38" s="180"/>
      <c r="JR38" s="180"/>
      <c r="JS38" s="180"/>
      <c r="JT38" s="180"/>
    </row>
    <row r="39" spans="1:341" ht="20.100000000000001" customHeight="1" x14ac:dyDescent="0.25">
      <c r="A39" s="100" t="s">
        <v>18</v>
      </c>
      <c r="B39" s="63" t="str">
        <f>IF(LEN(C63)=0,"",C63)</f>
        <v/>
      </c>
      <c r="C39" s="193"/>
      <c r="D39" s="146" t="str">
        <f t="shared" si="0"/>
        <v>12h55min</v>
      </c>
      <c r="E39" s="39">
        <v>155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90"/>
    </row>
    <row r="40" spans="1:341" ht="20.100000000000001" customHeight="1" x14ac:dyDescent="0.25">
      <c r="A40" s="100" t="s">
        <v>19</v>
      </c>
      <c r="B40" s="63" t="str">
        <f>IF(LEN(C65)=0,"",C65)</f>
        <v/>
      </c>
      <c r="C40" s="195"/>
      <c r="D40" s="147" t="str">
        <f t="shared" si="0"/>
        <v>5h</v>
      </c>
      <c r="E40" s="27">
        <v>60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179"/>
      <c r="GE40" s="180"/>
      <c r="GF40" s="180"/>
      <c r="GG40" s="180"/>
      <c r="GH40" s="180"/>
      <c r="GI40" s="180"/>
      <c r="GJ40" s="180"/>
      <c r="GK40" s="180"/>
      <c r="GL40" s="180"/>
      <c r="GM40" s="180"/>
      <c r="GN40" s="180"/>
      <c r="GO40" s="180"/>
      <c r="GP40" s="180"/>
      <c r="GQ40" s="180"/>
      <c r="GR40" s="180"/>
      <c r="GS40" s="180"/>
      <c r="GT40" s="180"/>
      <c r="GU40" s="180"/>
      <c r="GV40" s="180"/>
      <c r="GW40" s="180"/>
      <c r="GX40" s="180"/>
      <c r="GY40" s="180"/>
      <c r="GZ40" s="180"/>
      <c r="HA40" s="180"/>
      <c r="HB40" s="180"/>
      <c r="HC40" s="180"/>
      <c r="HD40" s="180"/>
      <c r="HE40" s="180"/>
      <c r="HF40" s="180"/>
      <c r="HG40" s="180"/>
      <c r="HH40" s="180"/>
      <c r="HI40" s="180"/>
      <c r="HJ40" s="180"/>
      <c r="HK40" s="180"/>
      <c r="HL40" s="180"/>
      <c r="HM40" s="180"/>
      <c r="HN40" s="180"/>
      <c r="HO40" s="180"/>
      <c r="HP40" s="180"/>
      <c r="HQ40" s="180"/>
      <c r="HR40" s="180"/>
      <c r="HS40" s="180"/>
      <c r="HT40" s="180"/>
      <c r="HU40" s="180"/>
      <c r="HV40" s="180"/>
      <c r="HW40" s="180"/>
      <c r="HX40" s="180"/>
      <c r="HY40" s="180"/>
      <c r="HZ40" s="180"/>
      <c r="IA40" s="180"/>
      <c r="IB40" s="180"/>
      <c r="IC40" s="180"/>
      <c r="ID40" s="180"/>
      <c r="IE40" s="180"/>
      <c r="IF40" s="180"/>
      <c r="IG40" s="180"/>
      <c r="IH40" s="180"/>
      <c r="II40" s="180"/>
      <c r="IJ40" s="180"/>
      <c r="IK40" s="180"/>
      <c r="IL40" s="180"/>
      <c r="IM40" s="180"/>
      <c r="IN40" s="180"/>
      <c r="IO40" s="180"/>
      <c r="IP40" s="180"/>
      <c r="IQ40" s="180"/>
      <c r="IR40" s="180"/>
      <c r="IS40" s="180"/>
      <c r="IT40" s="180"/>
      <c r="IU40" s="180"/>
      <c r="IV40" s="180"/>
      <c r="IW40" s="180"/>
      <c r="IX40" s="180"/>
      <c r="IY40" s="180"/>
      <c r="IZ40" s="180"/>
      <c r="JA40" s="180"/>
      <c r="JB40" s="180"/>
      <c r="JC40" s="180"/>
      <c r="JD40" s="180"/>
      <c r="JE40" s="180"/>
      <c r="JF40" s="180"/>
      <c r="JG40" s="180"/>
      <c r="JH40" s="180"/>
      <c r="JI40" s="180"/>
      <c r="JJ40" s="180"/>
      <c r="JK40" s="180"/>
      <c r="JL40" s="180"/>
      <c r="JM40" s="180"/>
      <c r="JN40" s="180"/>
      <c r="JO40" s="180"/>
      <c r="JP40" s="180"/>
      <c r="JQ40" s="180"/>
      <c r="JR40" s="180"/>
      <c r="JS40" s="180"/>
      <c r="JT40" s="180"/>
    </row>
    <row r="41" spans="1:341" ht="20.100000000000001" customHeight="1" x14ac:dyDescent="0.25">
      <c r="A41" s="100" t="s">
        <v>18</v>
      </c>
      <c r="B41" s="63" t="str">
        <f>IF(LEN(C67)=0,"",C67)</f>
        <v/>
      </c>
      <c r="C41" s="193"/>
      <c r="D41" s="146" t="str">
        <f t="shared" si="0"/>
        <v>12h55min</v>
      </c>
      <c r="E41" s="31">
        <v>155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90"/>
    </row>
    <row r="42" spans="1:341" ht="20.100000000000001" customHeight="1" x14ac:dyDescent="0.3">
      <c r="A42" s="100" t="s">
        <v>19</v>
      </c>
      <c r="B42" s="63" t="str">
        <f>IF(LEN(C69)=0,"",C69)</f>
        <v/>
      </c>
      <c r="C42" s="194"/>
      <c r="D42" s="148" t="str">
        <f t="shared" si="0"/>
        <v>5h</v>
      </c>
      <c r="E42" s="35">
        <v>60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179"/>
      <c r="GE42" s="180"/>
      <c r="GF42" s="180"/>
      <c r="GG42" s="180"/>
      <c r="GH42" s="180"/>
      <c r="GI42" s="180"/>
      <c r="GJ42" s="180"/>
      <c r="GK42" s="180"/>
      <c r="GL42" s="180"/>
      <c r="GM42" s="180"/>
      <c r="GN42" s="180"/>
      <c r="GO42" s="180"/>
      <c r="GP42" s="180"/>
      <c r="GQ42" s="180"/>
      <c r="GR42" s="180"/>
      <c r="GS42" s="180"/>
      <c r="GT42" s="180"/>
      <c r="GU42" s="180"/>
      <c r="GV42" s="180"/>
      <c r="GW42" s="180"/>
      <c r="GX42" s="180"/>
      <c r="GY42" s="180"/>
      <c r="GZ42" s="180"/>
      <c r="HA42" s="180"/>
      <c r="HB42" s="180"/>
      <c r="HC42" s="180"/>
      <c r="HD42" s="180"/>
      <c r="HE42" s="180"/>
      <c r="HF42" s="180"/>
      <c r="HG42" s="180"/>
      <c r="HH42" s="180"/>
      <c r="HI42" s="180"/>
      <c r="HJ42" s="180"/>
      <c r="HK42" s="180"/>
      <c r="HL42" s="180"/>
      <c r="HM42" s="180"/>
      <c r="HN42" s="180"/>
      <c r="HO42" s="180"/>
      <c r="HP42" s="180"/>
      <c r="HQ42" s="180"/>
      <c r="HR42" s="180"/>
      <c r="HS42" s="180"/>
      <c r="HT42" s="180"/>
      <c r="HU42" s="180"/>
      <c r="HV42" s="180"/>
      <c r="HW42" s="180"/>
      <c r="HX42" s="180"/>
      <c r="HY42" s="180"/>
      <c r="HZ42" s="180"/>
      <c r="IA42" s="180"/>
      <c r="IB42" s="180"/>
      <c r="IC42" s="180"/>
      <c r="ID42" s="180"/>
      <c r="IE42" s="180"/>
      <c r="IF42" s="180"/>
      <c r="IG42" s="180"/>
      <c r="IH42" s="180"/>
      <c r="II42" s="180"/>
      <c r="IJ42" s="180"/>
      <c r="IK42" s="180"/>
      <c r="IL42" s="180"/>
      <c r="IM42" s="180"/>
      <c r="IN42" s="180"/>
      <c r="IO42" s="180"/>
      <c r="IP42" s="180"/>
      <c r="IQ42" s="180"/>
      <c r="IR42" s="180"/>
      <c r="IS42" s="180"/>
      <c r="IT42" s="180"/>
      <c r="IU42" s="180"/>
      <c r="IV42" s="180"/>
      <c r="IW42" s="180"/>
      <c r="IX42" s="180"/>
      <c r="IY42" s="180"/>
      <c r="IZ42" s="180"/>
      <c r="JA42" s="180"/>
      <c r="JB42" s="180"/>
      <c r="JC42" s="180"/>
      <c r="JD42" s="180"/>
      <c r="JE42" s="180"/>
      <c r="JF42" s="180"/>
      <c r="JG42" s="180"/>
      <c r="JH42" s="180"/>
      <c r="JI42" s="180"/>
      <c r="JJ42" s="180"/>
      <c r="JK42" s="180"/>
      <c r="JL42" s="180"/>
      <c r="JM42" s="180"/>
      <c r="JN42" s="180"/>
      <c r="JO42" s="180"/>
      <c r="JP42" s="180"/>
      <c r="JQ42" s="180"/>
      <c r="JR42" s="180"/>
      <c r="JS42" s="180"/>
      <c r="JT42" s="180"/>
    </row>
    <row r="43" spans="1:341" ht="20.100000000000001" customHeight="1" x14ac:dyDescent="0.25">
      <c r="A43" s="100" t="s">
        <v>18</v>
      </c>
      <c r="B43" s="63" t="str">
        <f>IF(LEN(C71)=0,"",C71)</f>
        <v/>
      </c>
      <c r="C43" s="193"/>
      <c r="D43" s="146" t="str">
        <f t="shared" si="0"/>
        <v>12h55min</v>
      </c>
      <c r="E43" s="31">
        <v>155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90"/>
    </row>
    <row r="44" spans="1:341" ht="20.100000000000001" customHeight="1" x14ac:dyDescent="0.3">
      <c r="A44" s="100" t="s">
        <v>19</v>
      </c>
      <c r="B44" s="63" t="str">
        <f>IF(LEN(C73)=0,"",C73)</f>
        <v/>
      </c>
      <c r="C44" s="194"/>
      <c r="D44" s="148" t="str">
        <f t="shared" si="0"/>
        <v>5h</v>
      </c>
      <c r="E44" s="35">
        <v>60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179"/>
      <c r="GE44" s="180"/>
      <c r="GF44" s="180"/>
      <c r="GG44" s="180"/>
      <c r="GH44" s="180"/>
      <c r="GI44" s="180"/>
      <c r="GJ44" s="180"/>
      <c r="GK44" s="180"/>
      <c r="GL44" s="180"/>
      <c r="GM44" s="180"/>
      <c r="GN44" s="180"/>
      <c r="GO44" s="180"/>
      <c r="GP44" s="180"/>
      <c r="GQ44" s="180"/>
      <c r="GR44" s="180"/>
      <c r="GS44" s="180"/>
      <c r="GT44" s="180"/>
      <c r="GU44" s="180"/>
      <c r="GV44" s="180"/>
      <c r="GW44" s="180"/>
      <c r="GX44" s="180"/>
      <c r="GY44" s="180"/>
      <c r="GZ44" s="180"/>
      <c r="HA44" s="180"/>
      <c r="HB44" s="180"/>
      <c r="HC44" s="180"/>
      <c r="HD44" s="180"/>
      <c r="HE44" s="180"/>
      <c r="HF44" s="180"/>
      <c r="HG44" s="180"/>
      <c r="HH44" s="180"/>
      <c r="HI44" s="180"/>
      <c r="HJ44" s="180"/>
      <c r="HK44" s="180"/>
      <c r="HL44" s="180"/>
      <c r="HM44" s="180"/>
      <c r="HN44" s="180"/>
      <c r="HO44" s="180"/>
      <c r="HP44" s="180"/>
      <c r="HQ44" s="180"/>
      <c r="HR44" s="180"/>
      <c r="HS44" s="180"/>
      <c r="HT44" s="180"/>
      <c r="HU44" s="180"/>
      <c r="HV44" s="180"/>
      <c r="HW44" s="180"/>
      <c r="HX44" s="180"/>
      <c r="HY44" s="180"/>
      <c r="HZ44" s="180"/>
      <c r="IA44" s="180"/>
      <c r="IB44" s="180"/>
      <c r="IC44" s="180"/>
      <c r="ID44" s="180"/>
      <c r="IE44" s="180"/>
      <c r="IF44" s="180"/>
      <c r="IG44" s="180"/>
      <c r="IH44" s="180"/>
      <c r="II44" s="180"/>
      <c r="IJ44" s="180"/>
      <c r="IK44" s="180"/>
      <c r="IL44" s="180"/>
      <c r="IM44" s="180"/>
      <c r="IN44" s="180"/>
      <c r="IO44" s="180"/>
      <c r="IP44" s="180"/>
      <c r="IQ44" s="180"/>
      <c r="IR44" s="180"/>
      <c r="IS44" s="180"/>
      <c r="IT44" s="180"/>
      <c r="IU44" s="180"/>
      <c r="IV44" s="180"/>
      <c r="IW44" s="180"/>
      <c r="IX44" s="180"/>
      <c r="IY44" s="180"/>
      <c r="IZ44" s="180"/>
      <c r="JA44" s="180"/>
      <c r="JB44" s="180"/>
      <c r="JC44" s="180"/>
      <c r="JD44" s="180"/>
      <c r="JE44" s="180"/>
      <c r="JF44" s="180"/>
      <c r="JG44" s="180"/>
      <c r="JH44" s="180"/>
      <c r="JI44" s="180"/>
      <c r="JJ44" s="180"/>
      <c r="JK44" s="180"/>
      <c r="JL44" s="180"/>
      <c r="JM44" s="180"/>
      <c r="JN44" s="180"/>
      <c r="JO44" s="180"/>
      <c r="JP44" s="180"/>
      <c r="JQ44" s="180"/>
      <c r="JR44" s="180"/>
      <c r="JS44" s="180"/>
      <c r="JT44" s="180"/>
    </row>
    <row r="45" spans="1:341" ht="20.100000000000001" customHeight="1" x14ac:dyDescent="0.25">
      <c r="A45" s="100" t="s">
        <v>18</v>
      </c>
      <c r="B45" s="63" t="str">
        <f>IF(LEN(C75)=0,"",C75)</f>
        <v/>
      </c>
      <c r="C45" s="193"/>
      <c r="D45" s="146" t="str">
        <f t="shared" si="0"/>
        <v>12h55min</v>
      </c>
      <c r="E45" s="39">
        <v>155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90"/>
    </row>
    <row r="46" spans="1:341" ht="20.100000000000001" customHeight="1" x14ac:dyDescent="0.25">
      <c r="A46" s="100" t="s">
        <v>19</v>
      </c>
      <c r="B46" s="63" t="str">
        <f>IF(LEN(C77)=0,"",C77)</f>
        <v/>
      </c>
      <c r="C46" s="195"/>
      <c r="D46" s="147" t="str">
        <f t="shared" si="0"/>
        <v>5h</v>
      </c>
      <c r="E46" s="35">
        <v>60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179"/>
      <c r="GE46" s="180"/>
      <c r="GF46" s="180"/>
      <c r="GG46" s="180"/>
      <c r="GH46" s="180"/>
      <c r="GI46" s="180"/>
      <c r="GJ46" s="180"/>
      <c r="GK46" s="180"/>
      <c r="GL46" s="180"/>
      <c r="GM46" s="180"/>
      <c r="GN46" s="180"/>
      <c r="GO46" s="180"/>
      <c r="GP46" s="180"/>
      <c r="GQ46" s="180"/>
      <c r="GR46" s="180"/>
      <c r="GS46" s="180"/>
      <c r="GT46" s="180"/>
      <c r="GU46" s="180"/>
      <c r="GV46" s="180"/>
      <c r="GW46" s="180"/>
      <c r="GX46" s="180"/>
      <c r="GY46" s="180"/>
      <c r="GZ46" s="180"/>
      <c r="HA46" s="180"/>
      <c r="HB46" s="180"/>
      <c r="HC46" s="180"/>
      <c r="HD46" s="180"/>
      <c r="HE46" s="180"/>
      <c r="HF46" s="180"/>
      <c r="HG46" s="180"/>
      <c r="HH46" s="180"/>
      <c r="HI46" s="180"/>
      <c r="HJ46" s="180"/>
      <c r="HK46" s="180"/>
      <c r="HL46" s="180"/>
      <c r="HM46" s="180"/>
      <c r="HN46" s="180"/>
      <c r="HO46" s="180"/>
      <c r="HP46" s="180"/>
      <c r="HQ46" s="180"/>
      <c r="HR46" s="180"/>
      <c r="HS46" s="180"/>
      <c r="HT46" s="180"/>
      <c r="HU46" s="180"/>
      <c r="HV46" s="180"/>
      <c r="HW46" s="180"/>
      <c r="HX46" s="180"/>
      <c r="HY46" s="180"/>
      <c r="HZ46" s="180"/>
      <c r="IA46" s="180"/>
      <c r="IB46" s="180"/>
      <c r="IC46" s="180"/>
      <c r="ID46" s="180"/>
      <c r="IE46" s="180"/>
      <c r="IF46" s="180"/>
      <c r="IG46" s="180"/>
      <c r="IH46" s="180"/>
      <c r="II46" s="180"/>
      <c r="IJ46" s="180"/>
      <c r="IK46" s="180"/>
      <c r="IL46" s="180"/>
      <c r="IM46" s="180"/>
      <c r="IN46" s="180"/>
      <c r="IO46" s="180"/>
      <c r="IP46" s="180"/>
      <c r="IQ46" s="180"/>
      <c r="IR46" s="180"/>
      <c r="IS46" s="180"/>
      <c r="IT46" s="180"/>
      <c r="IU46" s="180"/>
      <c r="IV46" s="180"/>
      <c r="IW46" s="180"/>
      <c r="IX46" s="180"/>
      <c r="IY46" s="180"/>
      <c r="IZ46" s="180"/>
      <c r="JA46" s="180"/>
      <c r="JB46" s="180"/>
      <c r="JC46" s="180"/>
      <c r="JD46" s="180"/>
      <c r="JE46" s="180"/>
      <c r="JF46" s="180"/>
      <c r="JG46" s="180"/>
      <c r="JH46" s="180"/>
      <c r="JI46" s="180"/>
      <c r="JJ46" s="180"/>
      <c r="JK46" s="180"/>
      <c r="JL46" s="180"/>
      <c r="JM46" s="180"/>
      <c r="JN46" s="180"/>
      <c r="JO46" s="180"/>
      <c r="JP46" s="180"/>
      <c r="JQ46" s="180"/>
      <c r="JR46" s="180"/>
      <c r="JS46" s="180"/>
      <c r="JT46" s="180"/>
    </row>
    <row r="47" spans="1:341" ht="20.100000000000001" customHeight="1" x14ac:dyDescent="0.25">
      <c r="A47" s="100" t="s">
        <v>18</v>
      </c>
      <c r="B47" s="63" t="str">
        <f>IF(LEN(C79)=0,"",C79)</f>
        <v/>
      </c>
      <c r="C47" s="193"/>
      <c r="D47" s="146" t="str">
        <f t="shared" si="0"/>
        <v>12h55min</v>
      </c>
      <c r="E47" s="39">
        <v>155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90"/>
    </row>
    <row r="48" spans="1:341" ht="20.100000000000001" customHeight="1" x14ac:dyDescent="0.3">
      <c r="A48" s="100" t="s">
        <v>19</v>
      </c>
      <c r="B48" s="63" t="str">
        <f>IF(LEN(C81)=0,"",C81)</f>
        <v/>
      </c>
      <c r="C48" s="194"/>
      <c r="D48" s="148" t="str">
        <f t="shared" si="0"/>
        <v>5h</v>
      </c>
      <c r="E48" s="27">
        <v>60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179"/>
      <c r="GE48" s="180"/>
      <c r="GF48" s="180"/>
      <c r="GG48" s="180"/>
      <c r="GH48" s="180"/>
      <c r="GI48" s="180"/>
      <c r="GJ48" s="180"/>
      <c r="GK48" s="180"/>
      <c r="GL48" s="180"/>
      <c r="GM48" s="180"/>
      <c r="GN48" s="180"/>
      <c r="GO48" s="180"/>
      <c r="GP48" s="180"/>
      <c r="GQ48" s="180"/>
      <c r="GR48" s="180"/>
      <c r="GS48" s="180"/>
      <c r="GT48" s="180"/>
      <c r="GU48" s="180"/>
      <c r="GV48" s="180"/>
      <c r="GW48" s="180"/>
      <c r="GX48" s="180"/>
      <c r="GY48" s="180"/>
      <c r="GZ48" s="180"/>
      <c r="HA48" s="180"/>
      <c r="HB48" s="180"/>
      <c r="HC48" s="180"/>
      <c r="HD48" s="180"/>
      <c r="HE48" s="180"/>
      <c r="HF48" s="180"/>
      <c r="HG48" s="180"/>
      <c r="HH48" s="180"/>
      <c r="HI48" s="180"/>
      <c r="HJ48" s="180"/>
      <c r="HK48" s="180"/>
      <c r="HL48" s="180"/>
      <c r="HM48" s="180"/>
      <c r="HN48" s="180"/>
      <c r="HO48" s="180"/>
      <c r="HP48" s="180"/>
      <c r="HQ48" s="180"/>
      <c r="HR48" s="180"/>
      <c r="HS48" s="180"/>
      <c r="HT48" s="180"/>
      <c r="HU48" s="180"/>
      <c r="HV48" s="180"/>
      <c r="HW48" s="180"/>
      <c r="HX48" s="180"/>
      <c r="HY48" s="180"/>
      <c r="HZ48" s="180"/>
      <c r="IA48" s="180"/>
      <c r="IB48" s="180"/>
      <c r="IC48" s="180"/>
      <c r="ID48" s="180"/>
      <c r="IE48" s="180"/>
      <c r="IF48" s="180"/>
      <c r="IG48" s="180"/>
      <c r="IH48" s="180"/>
      <c r="II48" s="180"/>
      <c r="IJ48" s="180"/>
      <c r="IK48" s="180"/>
      <c r="IL48" s="180"/>
      <c r="IM48" s="180"/>
      <c r="IN48" s="180"/>
      <c r="IO48" s="180"/>
      <c r="IP48" s="180"/>
      <c r="IQ48" s="180"/>
      <c r="IR48" s="180"/>
      <c r="IS48" s="180"/>
      <c r="IT48" s="180"/>
      <c r="IU48" s="180"/>
      <c r="IV48" s="180"/>
      <c r="IW48" s="180"/>
      <c r="IX48" s="180"/>
      <c r="IY48" s="180"/>
      <c r="IZ48" s="180"/>
      <c r="JA48" s="180"/>
      <c r="JB48" s="180"/>
      <c r="JC48" s="180"/>
      <c r="JD48" s="180"/>
      <c r="JE48" s="180"/>
      <c r="JF48" s="180"/>
      <c r="JG48" s="180"/>
      <c r="JH48" s="180"/>
      <c r="JI48" s="180"/>
      <c r="JJ48" s="180"/>
      <c r="JK48" s="180"/>
      <c r="JL48" s="180"/>
      <c r="JM48" s="180"/>
      <c r="JN48" s="180"/>
      <c r="JO48" s="180"/>
      <c r="JP48" s="180"/>
      <c r="JQ48" s="180"/>
      <c r="JR48" s="180"/>
      <c r="JS48" s="180"/>
      <c r="JT48" s="180"/>
    </row>
    <row r="49" spans="1:280" ht="20.100000000000001" customHeight="1" x14ac:dyDescent="0.25">
      <c r="A49" s="100" t="s">
        <v>18</v>
      </c>
      <c r="B49" s="63" t="str">
        <f>IF(LEN(C83)=0,"",C83)</f>
        <v/>
      </c>
      <c r="C49" s="193"/>
      <c r="D49" s="146" t="str">
        <f t="shared" si="0"/>
        <v>12h55min</v>
      </c>
      <c r="E49" s="31">
        <v>155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90"/>
    </row>
    <row r="50" spans="1:280" ht="20.100000000000001" customHeight="1" x14ac:dyDescent="0.3">
      <c r="A50" s="100" t="s">
        <v>19</v>
      </c>
      <c r="B50" s="63" t="str">
        <f>IF(LEN(C85)=0,"",C85)</f>
        <v/>
      </c>
      <c r="C50" s="194"/>
      <c r="D50" s="148" t="str">
        <f t="shared" si="0"/>
        <v>5h</v>
      </c>
      <c r="E50" s="35">
        <v>60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179"/>
      <c r="GE50" s="180"/>
      <c r="GF50" s="180"/>
      <c r="GG50" s="180"/>
      <c r="GH50" s="180"/>
      <c r="GI50" s="180"/>
      <c r="GJ50" s="180"/>
      <c r="GK50" s="180"/>
      <c r="GL50" s="180"/>
      <c r="GM50" s="180"/>
      <c r="GN50" s="180"/>
      <c r="GO50" s="180"/>
      <c r="GP50" s="180"/>
      <c r="GQ50" s="180"/>
      <c r="GR50" s="180"/>
      <c r="GS50" s="180"/>
      <c r="GT50" s="180"/>
      <c r="GU50" s="180"/>
      <c r="GV50" s="180"/>
      <c r="GW50" s="180"/>
      <c r="GX50" s="180"/>
      <c r="GY50" s="180"/>
      <c r="GZ50" s="180"/>
      <c r="HA50" s="180"/>
      <c r="HB50" s="180"/>
      <c r="HC50" s="180"/>
      <c r="HD50" s="180"/>
      <c r="HE50" s="180"/>
      <c r="HF50" s="180"/>
      <c r="HG50" s="180"/>
      <c r="HH50" s="180"/>
      <c r="HI50" s="180"/>
      <c r="HJ50" s="180"/>
      <c r="HK50" s="180"/>
      <c r="HL50" s="180"/>
      <c r="HM50" s="180"/>
      <c r="HN50" s="180"/>
      <c r="HO50" s="180"/>
      <c r="HP50" s="180"/>
      <c r="HQ50" s="180"/>
      <c r="HR50" s="180"/>
      <c r="HS50" s="180"/>
      <c r="HT50" s="180"/>
      <c r="HU50" s="180"/>
      <c r="HV50" s="180"/>
      <c r="HW50" s="180"/>
      <c r="HX50" s="180"/>
      <c r="HY50" s="180"/>
      <c r="HZ50" s="180"/>
      <c r="IA50" s="180"/>
      <c r="IB50" s="180"/>
      <c r="IC50" s="180"/>
      <c r="ID50" s="180"/>
      <c r="IE50" s="180"/>
      <c r="IF50" s="180"/>
      <c r="IG50" s="180"/>
      <c r="IH50" s="180"/>
      <c r="II50" s="180"/>
      <c r="IJ50" s="180"/>
      <c r="IK50" s="180"/>
      <c r="IL50" s="180"/>
      <c r="IM50" s="180"/>
      <c r="IN50" s="180"/>
      <c r="IO50" s="180"/>
      <c r="IP50" s="180"/>
      <c r="IQ50" s="180"/>
      <c r="IR50" s="180"/>
      <c r="IS50" s="180"/>
      <c r="IT50" s="180"/>
      <c r="IU50" s="180"/>
      <c r="IV50" s="180"/>
      <c r="IW50" s="180"/>
      <c r="IX50" s="180"/>
      <c r="IY50" s="180"/>
      <c r="IZ50" s="180"/>
      <c r="JA50" s="180"/>
      <c r="JB50" s="180"/>
      <c r="JC50" s="180"/>
      <c r="JD50" s="180"/>
      <c r="JE50" s="180"/>
      <c r="JF50" s="180"/>
      <c r="JG50" s="180"/>
      <c r="JH50" s="180"/>
      <c r="JI50" s="180"/>
      <c r="JJ50" s="180"/>
      <c r="JK50" s="180"/>
      <c r="JL50" s="180"/>
      <c r="JM50" s="180"/>
      <c r="JN50" s="180"/>
      <c r="JO50" s="180"/>
      <c r="JP50" s="180"/>
      <c r="JQ50" s="180"/>
      <c r="JR50" s="180"/>
      <c r="JS50" s="180"/>
      <c r="JT50" s="180"/>
    </row>
    <row r="51" spans="1:280" ht="20.100000000000001" customHeight="1" x14ac:dyDescent="0.25">
      <c r="A51" s="100" t="s">
        <v>18</v>
      </c>
      <c r="B51" s="63" t="str">
        <f>IF(LEN(C87)=0,"",C87)</f>
        <v/>
      </c>
      <c r="C51" s="193"/>
      <c r="D51" s="146" t="str">
        <f t="shared" si="0"/>
        <v>12h55min</v>
      </c>
      <c r="E51" s="39">
        <v>155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90"/>
    </row>
    <row r="52" spans="1:280" ht="20.100000000000001" customHeight="1" x14ac:dyDescent="0.25">
      <c r="A52" s="100" t="s">
        <v>19</v>
      </c>
      <c r="B52" s="63" t="str">
        <f>IF(LEN(C89)=0,"",C89)</f>
        <v/>
      </c>
      <c r="C52" s="195"/>
      <c r="D52" s="147" t="str">
        <f t="shared" si="0"/>
        <v>5h</v>
      </c>
      <c r="E52" s="27">
        <v>60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179"/>
      <c r="GE52" s="180"/>
      <c r="GF52" s="180"/>
      <c r="GG52" s="180"/>
      <c r="GH52" s="180"/>
      <c r="GI52" s="180"/>
      <c r="GJ52" s="180"/>
      <c r="GK52" s="180"/>
      <c r="GL52" s="180"/>
      <c r="GM52" s="180"/>
      <c r="GN52" s="180"/>
      <c r="GO52" s="180"/>
      <c r="GP52" s="180"/>
      <c r="GQ52" s="180"/>
      <c r="GR52" s="180"/>
      <c r="GS52" s="180"/>
      <c r="GT52" s="180"/>
      <c r="GU52" s="180"/>
      <c r="GV52" s="180"/>
      <c r="GW52" s="180"/>
      <c r="GX52" s="180"/>
      <c r="GY52" s="180"/>
      <c r="GZ52" s="180"/>
      <c r="HA52" s="180"/>
      <c r="HB52" s="180"/>
      <c r="HC52" s="180"/>
      <c r="HD52" s="180"/>
      <c r="HE52" s="180"/>
      <c r="HF52" s="180"/>
      <c r="HG52" s="180"/>
      <c r="HH52" s="180"/>
      <c r="HI52" s="180"/>
      <c r="HJ52" s="180"/>
      <c r="HK52" s="180"/>
      <c r="HL52" s="180"/>
      <c r="HM52" s="180"/>
      <c r="HN52" s="180"/>
      <c r="HO52" s="180"/>
      <c r="HP52" s="180"/>
      <c r="HQ52" s="180"/>
      <c r="HR52" s="180"/>
      <c r="HS52" s="180"/>
      <c r="HT52" s="180"/>
      <c r="HU52" s="180"/>
      <c r="HV52" s="180"/>
      <c r="HW52" s="180"/>
      <c r="HX52" s="180"/>
      <c r="HY52" s="180"/>
      <c r="HZ52" s="180"/>
      <c r="IA52" s="180"/>
      <c r="IB52" s="180"/>
      <c r="IC52" s="180"/>
      <c r="ID52" s="180"/>
      <c r="IE52" s="180"/>
      <c r="IF52" s="180"/>
      <c r="IG52" s="180"/>
      <c r="IH52" s="180"/>
      <c r="II52" s="180"/>
      <c r="IJ52" s="180"/>
      <c r="IK52" s="180"/>
      <c r="IL52" s="180"/>
      <c r="IM52" s="180"/>
      <c r="IN52" s="180"/>
      <c r="IO52" s="180"/>
      <c r="IP52" s="180"/>
      <c r="IQ52" s="180"/>
      <c r="IR52" s="180"/>
      <c r="IS52" s="180"/>
      <c r="IT52" s="180"/>
      <c r="IU52" s="180"/>
      <c r="IV52" s="180"/>
      <c r="IW52" s="180"/>
      <c r="IX52" s="180"/>
      <c r="IY52" s="180"/>
      <c r="IZ52" s="180"/>
      <c r="JA52" s="180"/>
      <c r="JB52" s="180"/>
      <c r="JC52" s="180"/>
      <c r="JD52" s="180"/>
      <c r="JE52" s="180"/>
      <c r="JF52" s="180"/>
      <c r="JG52" s="180"/>
      <c r="JH52" s="180"/>
      <c r="JI52" s="180"/>
      <c r="JJ52" s="180"/>
      <c r="JK52" s="180"/>
      <c r="JL52" s="180"/>
      <c r="JM52" s="180"/>
      <c r="JN52" s="180"/>
      <c r="JO52" s="180"/>
      <c r="JP52" s="180"/>
      <c r="JQ52" s="180"/>
      <c r="JR52" s="180"/>
      <c r="JS52" s="180"/>
      <c r="JT52" s="180"/>
    </row>
    <row r="53" spans="1:280" ht="20.100000000000001" customHeight="1" x14ac:dyDescent="0.25">
      <c r="A53" s="100" t="s">
        <v>18</v>
      </c>
      <c r="B53" s="63" t="str">
        <f>IF(LEN(C91)=0,"",C91)</f>
        <v/>
      </c>
      <c r="C53" s="193"/>
      <c r="D53" s="146" t="str">
        <f t="shared" si="0"/>
        <v>12h55min</v>
      </c>
      <c r="E53" s="31">
        <v>155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90"/>
    </row>
    <row r="54" spans="1:280" ht="20.100000000000001" customHeight="1" x14ac:dyDescent="0.3">
      <c r="A54" s="100" t="s">
        <v>19</v>
      </c>
      <c r="B54" s="63" t="str">
        <f>IF(LEN(C93)=0,"",C93)</f>
        <v/>
      </c>
      <c r="C54" s="194"/>
      <c r="D54" s="148" t="str">
        <f t="shared" si="0"/>
        <v>5h</v>
      </c>
      <c r="E54" s="35">
        <v>60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179"/>
      <c r="GE54" s="180"/>
      <c r="GF54" s="180"/>
      <c r="GG54" s="180"/>
      <c r="GH54" s="180"/>
      <c r="GI54" s="180"/>
      <c r="GJ54" s="180"/>
      <c r="GK54" s="180"/>
      <c r="GL54" s="180"/>
      <c r="GM54" s="180"/>
      <c r="GN54" s="180"/>
      <c r="GO54" s="180"/>
      <c r="GP54" s="180"/>
      <c r="GQ54" s="180"/>
      <c r="GR54" s="180"/>
      <c r="GS54" s="180"/>
      <c r="GT54" s="180"/>
      <c r="GU54" s="180"/>
      <c r="GV54" s="180"/>
      <c r="GW54" s="180"/>
      <c r="GX54" s="180"/>
      <c r="GY54" s="180"/>
      <c r="GZ54" s="180"/>
      <c r="HA54" s="180"/>
      <c r="HB54" s="180"/>
      <c r="HC54" s="180"/>
      <c r="HD54" s="180"/>
      <c r="HE54" s="180"/>
      <c r="HF54" s="180"/>
      <c r="HG54" s="180"/>
      <c r="HH54" s="180"/>
      <c r="HI54" s="180"/>
      <c r="HJ54" s="180"/>
      <c r="HK54" s="180"/>
      <c r="HL54" s="180"/>
      <c r="HM54" s="180"/>
      <c r="HN54" s="180"/>
      <c r="HO54" s="180"/>
      <c r="HP54" s="180"/>
      <c r="HQ54" s="180"/>
      <c r="HR54" s="180"/>
      <c r="HS54" s="180"/>
      <c r="HT54" s="180"/>
      <c r="HU54" s="180"/>
      <c r="HV54" s="180"/>
      <c r="HW54" s="180"/>
      <c r="HX54" s="180"/>
      <c r="HY54" s="180"/>
      <c r="HZ54" s="180"/>
      <c r="IA54" s="180"/>
      <c r="IB54" s="180"/>
      <c r="IC54" s="180"/>
      <c r="ID54" s="180"/>
      <c r="IE54" s="180"/>
      <c r="IF54" s="180"/>
      <c r="IG54" s="180"/>
      <c r="IH54" s="180"/>
      <c r="II54" s="180"/>
      <c r="IJ54" s="180"/>
      <c r="IK54" s="180"/>
      <c r="IL54" s="180"/>
      <c r="IM54" s="180"/>
      <c r="IN54" s="180"/>
      <c r="IO54" s="180"/>
      <c r="IP54" s="180"/>
      <c r="IQ54" s="180"/>
      <c r="IR54" s="180"/>
      <c r="IS54" s="180"/>
      <c r="IT54" s="180"/>
      <c r="IU54" s="180"/>
      <c r="IV54" s="180"/>
      <c r="IW54" s="180"/>
      <c r="IX54" s="180"/>
      <c r="IY54" s="180"/>
      <c r="IZ54" s="180"/>
      <c r="JA54" s="180"/>
      <c r="JB54" s="180"/>
      <c r="JC54" s="180"/>
      <c r="JD54" s="180"/>
      <c r="JE54" s="180"/>
      <c r="JF54" s="180"/>
      <c r="JG54" s="180"/>
      <c r="JH54" s="180"/>
      <c r="JI54" s="180"/>
      <c r="JJ54" s="180"/>
      <c r="JK54" s="180"/>
      <c r="JL54" s="180"/>
      <c r="JM54" s="180"/>
      <c r="JN54" s="180"/>
      <c r="JO54" s="180"/>
      <c r="JP54" s="180"/>
      <c r="JQ54" s="180"/>
      <c r="JR54" s="180"/>
      <c r="JS54" s="180"/>
      <c r="JT54" s="180"/>
    </row>
    <row r="55" spans="1:280" ht="20.100000000000001" customHeight="1" x14ac:dyDescent="0.25">
      <c r="A55" s="100" t="s">
        <v>18</v>
      </c>
      <c r="B55" s="63"/>
      <c r="C55" s="193"/>
      <c r="D55" s="146" t="str">
        <f t="shared" si="0"/>
        <v>12h55min</v>
      </c>
      <c r="E55" s="39">
        <v>155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90"/>
    </row>
    <row r="56" spans="1:280" ht="20.100000000000001" customHeight="1" x14ac:dyDescent="0.25">
      <c r="A56" s="100" t="s">
        <v>19</v>
      </c>
      <c r="B56" s="63"/>
      <c r="C56" s="195"/>
      <c r="D56" s="147" t="str">
        <f t="shared" si="0"/>
        <v>5h</v>
      </c>
      <c r="E56" s="27">
        <v>60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179"/>
      <c r="GE56" s="180"/>
      <c r="GF56" s="180"/>
      <c r="GG56" s="180"/>
      <c r="GH56" s="180"/>
      <c r="GI56" s="180"/>
      <c r="GJ56" s="180"/>
      <c r="GK56" s="180"/>
      <c r="GL56" s="180"/>
      <c r="GM56" s="180"/>
      <c r="GN56" s="180"/>
      <c r="GO56" s="180"/>
      <c r="GP56" s="180"/>
      <c r="GQ56" s="180"/>
      <c r="GR56" s="180"/>
      <c r="GS56" s="180"/>
      <c r="GT56" s="180"/>
      <c r="GU56" s="180"/>
      <c r="GV56" s="180"/>
      <c r="GW56" s="180"/>
      <c r="GX56" s="180"/>
      <c r="GY56" s="180"/>
      <c r="GZ56" s="180"/>
      <c r="HA56" s="180"/>
      <c r="HB56" s="180"/>
      <c r="HC56" s="180"/>
      <c r="HD56" s="180"/>
      <c r="HE56" s="180"/>
      <c r="HF56" s="180"/>
      <c r="HG56" s="180"/>
      <c r="HH56" s="180"/>
      <c r="HI56" s="180"/>
      <c r="HJ56" s="180"/>
      <c r="HK56" s="180"/>
      <c r="HL56" s="180"/>
      <c r="HM56" s="180"/>
      <c r="HN56" s="180"/>
      <c r="HO56" s="180"/>
      <c r="HP56" s="180"/>
      <c r="HQ56" s="180"/>
      <c r="HR56" s="180"/>
      <c r="HS56" s="180"/>
      <c r="HT56" s="180"/>
      <c r="HU56" s="180"/>
      <c r="HV56" s="180"/>
      <c r="HW56" s="180"/>
      <c r="HX56" s="180"/>
      <c r="HY56" s="180"/>
      <c r="HZ56" s="180"/>
      <c r="IA56" s="180"/>
      <c r="IB56" s="180"/>
      <c r="IC56" s="180"/>
      <c r="ID56" s="180"/>
      <c r="IE56" s="180"/>
      <c r="IF56" s="180"/>
      <c r="IG56" s="180"/>
      <c r="IH56" s="180"/>
      <c r="II56" s="180"/>
      <c r="IJ56" s="180"/>
      <c r="IK56" s="180"/>
      <c r="IL56" s="180"/>
      <c r="IM56" s="180"/>
      <c r="IN56" s="180"/>
      <c r="IO56" s="180"/>
      <c r="IP56" s="180"/>
      <c r="IQ56" s="180"/>
      <c r="IR56" s="180"/>
      <c r="IS56" s="180"/>
      <c r="IT56" s="180"/>
      <c r="IU56" s="180"/>
      <c r="IV56" s="180"/>
      <c r="IW56" s="180"/>
      <c r="IX56" s="180"/>
      <c r="IY56" s="180"/>
      <c r="IZ56" s="180"/>
      <c r="JA56" s="180"/>
      <c r="JB56" s="180"/>
      <c r="JC56" s="180"/>
      <c r="JD56" s="180"/>
      <c r="JE56" s="180"/>
      <c r="JF56" s="180"/>
      <c r="JG56" s="180"/>
      <c r="JH56" s="180"/>
      <c r="JI56" s="180"/>
      <c r="JJ56" s="180"/>
      <c r="JK56" s="180"/>
      <c r="JL56" s="180"/>
      <c r="JM56" s="180"/>
      <c r="JN56" s="180"/>
      <c r="JO56" s="180"/>
      <c r="JP56" s="180"/>
      <c r="JQ56" s="180"/>
      <c r="JR56" s="180"/>
      <c r="JS56" s="180"/>
      <c r="JT56" s="180"/>
    </row>
    <row r="57" spans="1:280" ht="20.100000000000001" customHeight="1" x14ac:dyDescent="0.25">
      <c r="A57" s="100" t="s">
        <v>18</v>
      </c>
      <c r="B57" s="63"/>
      <c r="C57" s="193"/>
      <c r="D57" s="146" t="str">
        <f t="shared" si="0"/>
        <v>12h55min</v>
      </c>
      <c r="E57" s="31">
        <v>155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90"/>
    </row>
    <row r="58" spans="1:280" ht="20.100000000000001" customHeight="1" x14ac:dyDescent="0.3">
      <c r="A58" s="100" t="s">
        <v>19</v>
      </c>
      <c r="B58" s="63"/>
      <c r="C58" s="194"/>
      <c r="D58" s="148" t="str">
        <f t="shared" si="0"/>
        <v>5h</v>
      </c>
      <c r="E58" s="35">
        <v>60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179"/>
      <c r="GE58" s="180"/>
      <c r="GF58" s="180"/>
      <c r="GG58" s="180"/>
      <c r="GH58" s="180"/>
      <c r="GI58" s="180"/>
      <c r="GJ58" s="180"/>
      <c r="GK58" s="180"/>
      <c r="GL58" s="180"/>
      <c r="GM58" s="180"/>
      <c r="GN58" s="180"/>
      <c r="GO58" s="180"/>
      <c r="GP58" s="180"/>
      <c r="GQ58" s="180"/>
      <c r="GR58" s="180"/>
      <c r="GS58" s="180"/>
      <c r="GT58" s="180"/>
      <c r="GU58" s="180"/>
      <c r="GV58" s="180"/>
      <c r="GW58" s="180"/>
      <c r="GX58" s="180"/>
      <c r="GY58" s="180"/>
      <c r="GZ58" s="180"/>
      <c r="HA58" s="180"/>
      <c r="HB58" s="180"/>
      <c r="HC58" s="180"/>
      <c r="HD58" s="180"/>
      <c r="HE58" s="180"/>
      <c r="HF58" s="180"/>
      <c r="HG58" s="180"/>
      <c r="HH58" s="180"/>
      <c r="HI58" s="180"/>
      <c r="HJ58" s="180"/>
      <c r="HK58" s="180"/>
      <c r="HL58" s="180"/>
      <c r="HM58" s="180"/>
      <c r="HN58" s="180"/>
      <c r="HO58" s="180"/>
      <c r="HP58" s="180"/>
      <c r="HQ58" s="180"/>
      <c r="HR58" s="180"/>
      <c r="HS58" s="180"/>
      <c r="HT58" s="180"/>
      <c r="HU58" s="180"/>
      <c r="HV58" s="180"/>
      <c r="HW58" s="180"/>
      <c r="HX58" s="180"/>
      <c r="HY58" s="180"/>
      <c r="HZ58" s="180"/>
      <c r="IA58" s="180"/>
      <c r="IB58" s="180"/>
      <c r="IC58" s="180"/>
      <c r="ID58" s="180"/>
      <c r="IE58" s="180"/>
      <c r="IF58" s="180"/>
      <c r="IG58" s="180"/>
      <c r="IH58" s="180"/>
      <c r="II58" s="180"/>
      <c r="IJ58" s="180"/>
      <c r="IK58" s="180"/>
      <c r="IL58" s="180"/>
      <c r="IM58" s="180"/>
      <c r="IN58" s="180"/>
      <c r="IO58" s="180"/>
      <c r="IP58" s="180"/>
      <c r="IQ58" s="180"/>
      <c r="IR58" s="180"/>
      <c r="IS58" s="180"/>
      <c r="IT58" s="180"/>
      <c r="IU58" s="180"/>
      <c r="IV58" s="180"/>
      <c r="IW58" s="180"/>
      <c r="IX58" s="180"/>
      <c r="IY58" s="180"/>
      <c r="IZ58" s="180"/>
      <c r="JA58" s="180"/>
      <c r="JB58" s="180"/>
      <c r="JC58" s="180"/>
      <c r="JD58" s="180"/>
      <c r="JE58" s="180"/>
      <c r="JF58" s="180"/>
      <c r="JG58" s="180"/>
      <c r="JH58" s="180"/>
      <c r="JI58" s="180"/>
      <c r="JJ58" s="180"/>
      <c r="JK58" s="180"/>
      <c r="JL58" s="180"/>
      <c r="JM58" s="180"/>
      <c r="JN58" s="180"/>
      <c r="JO58" s="180"/>
      <c r="JP58" s="180"/>
      <c r="JQ58" s="180"/>
      <c r="JR58" s="180"/>
      <c r="JS58" s="180"/>
      <c r="JT58" s="180"/>
    </row>
    <row r="59" spans="1:280" ht="20.100000000000001" customHeight="1" x14ac:dyDescent="0.25">
      <c r="A59" s="100" t="s">
        <v>18</v>
      </c>
      <c r="B59" s="63"/>
      <c r="C59" s="193"/>
      <c r="D59" s="146" t="str">
        <f t="shared" si="0"/>
        <v>12h55min</v>
      </c>
      <c r="E59" s="31">
        <v>155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90"/>
    </row>
    <row r="60" spans="1:280" ht="20.100000000000001" customHeight="1" x14ac:dyDescent="0.3">
      <c r="A60" s="100" t="s">
        <v>19</v>
      </c>
      <c r="B60" s="63"/>
      <c r="C60" s="194"/>
      <c r="D60" s="148" t="str">
        <f t="shared" si="0"/>
        <v>5h</v>
      </c>
      <c r="E60" s="35">
        <v>60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179"/>
      <c r="GE60" s="180"/>
      <c r="GF60" s="180"/>
      <c r="GG60" s="180"/>
      <c r="GH60" s="180"/>
      <c r="GI60" s="180"/>
      <c r="GJ60" s="180"/>
      <c r="GK60" s="180"/>
      <c r="GL60" s="180"/>
      <c r="GM60" s="180"/>
      <c r="GN60" s="180"/>
      <c r="GO60" s="180"/>
      <c r="GP60" s="180"/>
      <c r="GQ60" s="180"/>
      <c r="GR60" s="180"/>
      <c r="GS60" s="180"/>
      <c r="GT60" s="180"/>
      <c r="GU60" s="180"/>
      <c r="GV60" s="180"/>
      <c r="GW60" s="180"/>
      <c r="GX60" s="180"/>
      <c r="GY60" s="180"/>
      <c r="GZ60" s="180"/>
      <c r="HA60" s="180"/>
      <c r="HB60" s="180"/>
      <c r="HC60" s="180"/>
      <c r="HD60" s="180"/>
      <c r="HE60" s="180"/>
      <c r="HF60" s="180"/>
      <c r="HG60" s="180"/>
      <c r="HH60" s="180"/>
      <c r="HI60" s="180"/>
      <c r="HJ60" s="180"/>
      <c r="HK60" s="180"/>
      <c r="HL60" s="180"/>
      <c r="HM60" s="180"/>
      <c r="HN60" s="180"/>
      <c r="HO60" s="180"/>
      <c r="HP60" s="180"/>
      <c r="HQ60" s="180"/>
      <c r="HR60" s="180"/>
      <c r="HS60" s="180"/>
      <c r="HT60" s="180"/>
      <c r="HU60" s="180"/>
      <c r="HV60" s="180"/>
      <c r="HW60" s="180"/>
      <c r="HX60" s="180"/>
      <c r="HY60" s="180"/>
      <c r="HZ60" s="180"/>
      <c r="IA60" s="180"/>
      <c r="IB60" s="180"/>
      <c r="IC60" s="180"/>
      <c r="ID60" s="180"/>
      <c r="IE60" s="180"/>
      <c r="IF60" s="180"/>
      <c r="IG60" s="180"/>
      <c r="IH60" s="180"/>
      <c r="II60" s="180"/>
      <c r="IJ60" s="180"/>
      <c r="IK60" s="180"/>
      <c r="IL60" s="180"/>
      <c r="IM60" s="180"/>
      <c r="IN60" s="180"/>
      <c r="IO60" s="180"/>
      <c r="IP60" s="180"/>
      <c r="IQ60" s="180"/>
      <c r="IR60" s="180"/>
      <c r="IS60" s="180"/>
      <c r="IT60" s="180"/>
      <c r="IU60" s="180"/>
      <c r="IV60" s="180"/>
      <c r="IW60" s="180"/>
      <c r="IX60" s="180"/>
      <c r="IY60" s="180"/>
      <c r="IZ60" s="180"/>
      <c r="JA60" s="180"/>
      <c r="JB60" s="180"/>
      <c r="JC60" s="180"/>
      <c r="JD60" s="180"/>
      <c r="JE60" s="180"/>
      <c r="JF60" s="180"/>
      <c r="JG60" s="180"/>
      <c r="JH60" s="180"/>
      <c r="JI60" s="180"/>
      <c r="JJ60" s="180"/>
      <c r="JK60" s="180"/>
      <c r="JL60" s="180"/>
      <c r="JM60" s="180"/>
      <c r="JN60" s="180"/>
      <c r="JO60" s="180"/>
      <c r="JP60" s="180"/>
      <c r="JQ60" s="180"/>
      <c r="JR60" s="180"/>
      <c r="JS60" s="180"/>
      <c r="JT60" s="180"/>
    </row>
    <row r="61" spans="1:280" ht="20.100000000000001" customHeight="1" x14ac:dyDescent="0.25">
      <c r="A61" s="100" t="s">
        <v>18</v>
      </c>
      <c r="B61" s="63"/>
      <c r="C61" s="193"/>
      <c r="D61" s="146" t="str">
        <f t="shared" si="0"/>
        <v>12h55min</v>
      </c>
      <c r="E61" s="39">
        <v>155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90"/>
    </row>
    <row r="62" spans="1:280" ht="20.100000000000001" customHeight="1" x14ac:dyDescent="0.25">
      <c r="A62" s="100" t="s">
        <v>19</v>
      </c>
      <c r="B62" s="63"/>
      <c r="C62" s="195"/>
      <c r="D62" s="147" t="str">
        <f t="shared" si="0"/>
        <v>5h</v>
      </c>
      <c r="E62" s="102">
        <v>60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179"/>
      <c r="GE62" s="180"/>
      <c r="GF62" s="180"/>
      <c r="GG62" s="180"/>
      <c r="GH62" s="180"/>
      <c r="GI62" s="180"/>
      <c r="GJ62" s="180"/>
      <c r="GK62" s="180"/>
      <c r="GL62" s="180"/>
      <c r="GM62" s="180"/>
      <c r="GN62" s="180"/>
      <c r="GO62" s="180"/>
      <c r="GP62" s="180"/>
      <c r="GQ62" s="180"/>
      <c r="GR62" s="180"/>
      <c r="GS62" s="180"/>
      <c r="GT62" s="180"/>
      <c r="GU62" s="180"/>
      <c r="GV62" s="180"/>
      <c r="GW62" s="180"/>
      <c r="GX62" s="180"/>
      <c r="GY62" s="180"/>
      <c r="GZ62" s="180"/>
      <c r="HA62" s="180"/>
      <c r="HB62" s="180"/>
      <c r="HC62" s="180"/>
      <c r="HD62" s="180"/>
      <c r="HE62" s="180"/>
      <c r="HF62" s="180"/>
      <c r="HG62" s="180"/>
      <c r="HH62" s="180"/>
      <c r="HI62" s="180"/>
      <c r="HJ62" s="180"/>
      <c r="HK62" s="180"/>
      <c r="HL62" s="180"/>
      <c r="HM62" s="180"/>
      <c r="HN62" s="180"/>
      <c r="HO62" s="180"/>
      <c r="HP62" s="180"/>
      <c r="HQ62" s="180"/>
      <c r="HR62" s="180"/>
      <c r="HS62" s="180"/>
      <c r="HT62" s="180"/>
      <c r="HU62" s="180"/>
      <c r="HV62" s="180"/>
      <c r="HW62" s="180"/>
      <c r="HX62" s="180"/>
      <c r="HY62" s="180"/>
      <c r="HZ62" s="180"/>
      <c r="IA62" s="180"/>
      <c r="IB62" s="180"/>
      <c r="IC62" s="180"/>
      <c r="ID62" s="180"/>
      <c r="IE62" s="180"/>
      <c r="IF62" s="180"/>
      <c r="IG62" s="180"/>
      <c r="IH62" s="180"/>
      <c r="II62" s="180"/>
      <c r="IJ62" s="180"/>
      <c r="IK62" s="180"/>
      <c r="IL62" s="180"/>
      <c r="IM62" s="180"/>
      <c r="IN62" s="180"/>
      <c r="IO62" s="180"/>
      <c r="IP62" s="180"/>
      <c r="IQ62" s="180"/>
      <c r="IR62" s="180"/>
      <c r="IS62" s="180"/>
      <c r="IT62" s="180"/>
      <c r="IU62" s="180"/>
      <c r="IV62" s="180"/>
      <c r="IW62" s="180"/>
      <c r="IX62" s="180"/>
      <c r="IY62" s="180"/>
      <c r="IZ62" s="180"/>
      <c r="JA62" s="180"/>
      <c r="JB62" s="180"/>
      <c r="JC62" s="180"/>
      <c r="JD62" s="180"/>
      <c r="JE62" s="180"/>
      <c r="JF62" s="180"/>
      <c r="JG62" s="180"/>
      <c r="JH62" s="180"/>
      <c r="JI62" s="180"/>
      <c r="JJ62" s="180"/>
      <c r="JK62" s="180"/>
      <c r="JL62" s="180"/>
      <c r="JM62" s="180"/>
      <c r="JN62" s="180"/>
      <c r="JO62" s="180"/>
      <c r="JP62" s="180"/>
      <c r="JQ62" s="180"/>
      <c r="JR62" s="180"/>
      <c r="JS62" s="180"/>
      <c r="JT62" s="180"/>
    </row>
    <row r="63" spans="1:280" ht="20.100000000000001" customHeight="1" x14ac:dyDescent="0.25">
      <c r="A63" s="100" t="s">
        <v>18</v>
      </c>
      <c r="B63" s="63"/>
      <c r="C63" s="193"/>
      <c r="D63" s="146" t="str">
        <f t="shared" si="0"/>
        <v>12h55min</v>
      </c>
      <c r="E63" s="39">
        <v>155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90"/>
    </row>
    <row r="64" spans="1:280" ht="20.100000000000001" customHeight="1" x14ac:dyDescent="0.3">
      <c r="A64" s="100" t="s">
        <v>19</v>
      </c>
      <c r="B64" s="63"/>
      <c r="C64" s="194"/>
      <c r="D64" s="148" t="str">
        <f t="shared" si="0"/>
        <v>5h</v>
      </c>
      <c r="E64" s="27">
        <v>60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179"/>
      <c r="GE64" s="180"/>
      <c r="GF64" s="180"/>
      <c r="GG64" s="180"/>
      <c r="GH64" s="180"/>
      <c r="GI64" s="180"/>
      <c r="GJ64" s="180"/>
      <c r="GK64" s="180"/>
      <c r="GL64" s="180"/>
      <c r="GM64" s="180"/>
      <c r="GN64" s="180"/>
      <c r="GO64" s="180"/>
      <c r="GP64" s="180"/>
      <c r="GQ64" s="180"/>
      <c r="GR64" s="180"/>
      <c r="GS64" s="180"/>
      <c r="GT64" s="180"/>
      <c r="GU64" s="180"/>
      <c r="GV64" s="180"/>
      <c r="GW64" s="180"/>
      <c r="GX64" s="180"/>
      <c r="GY64" s="180"/>
      <c r="GZ64" s="180"/>
      <c r="HA64" s="180"/>
      <c r="HB64" s="180"/>
      <c r="HC64" s="180"/>
      <c r="HD64" s="180"/>
      <c r="HE64" s="180"/>
      <c r="HF64" s="180"/>
      <c r="HG64" s="180"/>
      <c r="HH64" s="180"/>
      <c r="HI64" s="180"/>
      <c r="HJ64" s="180"/>
      <c r="HK64" s="180"/>
      <c r="HL64" s="180"/>
      <c r="HM64" s="180"/>
      <c r="HN64" s="180"/>
      <c r="HO64" s="180"/>
      <c r="HP64" s="180"/>
      <c r="HQ64" s="180"/>
      <c r="HR64" s="180"/>
      <c r="HS64" s="180"/>
      <c r="HT64" s="180"/>
      <c r="HU64" s="180"/>
      <c r="HV64" s="180"/>
      <c r="HW64" s="180"/>
      <c r="HX64" s="180"/>
      <c r="HY64" s="180"/>
      <c r="HZ64" s="180"/>
      <c r="IA64" s="180"/>
      <c r="IB64" s="180"/>
      <c r="IC64" s="180"/>
      <c r="ID64" s="180"/>
      <c r="IE64" s="180"/>
      <c r="IF64" s="180"/>
      <c r="IG64" s="180"/>
      <c r="IH64" s="180"/>
      <c r="II64" s="180"/>
      <c r="IJ64" s="180"/>
      <c r="IK64" s="180"/>
      <c r="IL64" s="180"/>
      <c r="IM64" s="180"/>
      <c r="IN64" s="180"/>
      <c r="IO64" s="180"/>
      <c r="IP64" s="180"/>
      <c r="IQ64" s="180"/>
      <c r="IR64" s="180"/>
      <c r="IS64" s="180"/>
      <c r="IT64" s="180"/>
      <c r="IU64" s="180"/>
      <c r="IV64" s="180"/>
      <c r="IW64" s="180"/>
      <c r="IX64" s="180"/>
      <c r="IY64" s="180"/>
      <c r="IZ64" s="180"/>
      <c r="JA64" s="180"/>
      <c r="JB64" s="180"/>
      <c r="JC64" s="180"/>
      <c r="JD64" s="180"/>
      <c r="JE64" s="180"/>
      <c r="JF64" s="180"/>
      <c r="JG64" s="180"/>
      <c r="JH64" s="180"/>
      <c r="JI64" s="180"/>
      <c r="JJ64" s="180"/>
      <c r="JK64" s="180"/>
      <c r="JL64" s="180"/>
      <c r="JM64" s="180"/>
      <c r="JN64" s="180"/>
      <c r="JO64" s="180"/>
      <c r="JP64" s="180"/>
      <c r="JQ64" s="180"/>
      <c r="JR64" s="180"/>
      <c r="JS64" s="180"/>
      <c r="JT64" s="180"/>
    </row>
    <row r="65" spans="1:280" ht="20.100000000000001" customHeight="1" x14ac:dyDescent="0.25">
      <c r="A65" s="100" t="s">
        <v>18</v>
      </c>
      <c r="B65" s="63"/>
      <c r="C65" s="193"/>
      <c r="D65" s="146" t="str">
        <f t="shared" si="0"/>
        <v>12h55min</v>
      </c>
      <c r="E65" s="31">
        <v>155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90"/>
    </row>
    <row r="66" spans="1:280" ht="20.100000000000001" customHeight="1" x14ac:dyDescent="0.3">
      <c r="A66" s="100" t="s">
        <v>19</v>
      </c>
      <c r="B66" s="63"/>
      <c r="C66" s="194"/>
      <c r="D66" s="148" t="str">
        <f t="shared" si="0"/>
        <v>5h</v>
      </c>
      <c r="E66" s="35">
        <v>60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179"/>
      <c r="GE66" s="180"/>
      <c r="GF66" s="180"/>
      <c r="GG66" s="180"/>
      <c r="GH66" s="180"/>
      <c r="GI66" s="180"/>
      <c r="GJ66" s="180"/>
      <c r="GK66" s="180"/>
      <c r="GL66" s="180"/>
      <c r="GM66" s="180"/>
      <c r="GN66" s="180"/>
      <c r="GO66" s="180"/>
      <c r="GP66" s="180"/>
      <c r="GQ66" s="180"/>
      <c r="GR66" s="180"/>
      <c r="GS66" s="180"/>
      <c r="GT66" s="180"/>
      <c r="GU66" s="180"/>
      <c r="GV66" s="180"/>
      <c r="GW66" s="180"/>
      <c r="GX66" s="180"/>
      <c r="GY66" s="180"/>
      <c r="GZ66" s="180"/>
      <c r="HA66" s="180"/>
      <c r="HB66" s="180"/>
      <c r="HC66" s="180"/>
      <c r="HD66" s="180"/>
      <c r="HE66" s="180"/>
      <c r="HF66" s="180"/>
      <c r="HG66" s="180"/>
      <c r="HH66" s="180"/>
      <c r="HI66" s="180"/>
      <c r="HJ66" s="180"/>
      <c r="HK66" s="180"/>
      <c r="HL66" s="180"/>
      <c r="HM66" s="180"/>
      <c r="HN66" s="180"/>
      <c r="HO66" s="180"/>
      <c r="HP66" s="180"/>
      <c r="HQ66" s="180"/>
      <c r="HR66" s="180"/>
      <c r="HS66" s="180"/>
      <c r="HT66" s="180"/>
      <c r="HU66" s="180"/>
      <c r="HV66" s="180"/>
      <c r="HW66" s="180"/>
      <c r="HX66" s="180"/>
      <c r="HY66" s="180"/>
      <c r="HZ66" s="180"/>
      <c r="IA66" s="180"/>
      <c r="IB66" s="180"/>
      <c r="IC66" s="180"/>
      <c r="ID66" s="180"/>
      <c r="IE66" s="180"/>
      <c r="IF66" s="180"/>
      <c r="IG66" s="180"/>
      <c r="IH66" s="180"/>
      <c r="II66" s="180"/>
      <c r="IJ66" s="180"/>
      <c r="IK66" s="180"/>
      <c r="IL66" s="180"/>
      <c r="IM66" s="180"/>
      <c r="IN66" s="180"/>
      <c r="IO66" s="180"/>
      <c r="IP66" s="180"/>
      <c r="IQ66" s="180"/>
      <c r="IR66" s="180"/>
      <c r="IS66" s="180"/>
      <c r="IT66" s="180"/>
      <c r="IU66" s="180"/>
      <c r="IV66" s="180"/>
      <c r="IW66" s="180"/>
      <c r="IX66" s="180"/>
      <c r="IY66" s="180"/>
      <c r="IZ66" s="180"/>
      <c r="JA66" s="180"/>
      <c r="JB66" s="180"/>
      <c r="JC66" s="180"/>
      <c r="JD66" s="180"/>
      <c r="JE66" s="180"/>
      <c r="JF66" s="180"/>
      <c r="JG66" s="180"/>
      <c r="JH66" s="180"/>
      <c r="JI66" s="180"/>
      <c r="JJ66" s="180"/>
      <c r="JK66" s="180"/>
      <c r="JL66" s="180"/>
      <c r="JM66" s="180"/>
      <c r="JN66" s="180"/>
      <c r="JO66" s="180"/>
      <c r="JP66" s="180"/>
      <c r="JQ66" s="180"/>
      <c r="JR66" s="180"/>
      <c r="JS66" s="180"/>
      <c r="JT66" s="180"/>
    </row>
    <row r="67" spans="1:280" ht="20.100000000000001" customHeight="1" x14ac:dyDescent="0.25">
      <c r="A67" s="100" t="s">
        <v>18</v>
      </c>
      <c r="B67" s="63"/>
      <c r="C67" s="193"/>
      <c r="D67" s="146" t="str">
        <f t="shared" si="0"/>
        <v>12h55min</v>
      </c>
      <c r="E67" s="39">
        <v>155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90"/>
    </row>
    <row r="68" spans="1:280" ht="20.100000000000001" customHeight="1" x14ac:dyDescent="0.25">
      <c r="A68" s="100" t="s">
        <v>19</v>
      </c>
      <c r="B68" s="63"/>
      <c r="C68" s="195"/>
      <c r="D68" s="147" t="str">
        <f t="shared" si="0"/>
        <v>5h</v>
      </c>
      <c r="E68" s="27">
        <v>60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179"/>
      <c r="GE68" s="180"/>
      <c r="GF68" s="180"/>
      <c r="GG68" s="180"/>
      <c r="GH68" s="180"/>
      <c r="GI68" s="180"/>
      <c r="GJ68" s="180"/>
      <c r="GK68" s="180"/>
      <c r="GL68" s="180"/>
      <c r="GM68" s="180"/>
      <c r="GN68" s="180"/>
      <c r="GO68" s="180"/>
      <c r="GP68" s="180"/>
      <c r="GQ68" s="180"/>
      <c r="GR68" s="180"/>
      <c r="GS68" s="180"/>
      <c r="GT68" s="180"/>
      <c r="GU68" s="180"/>
      <c r="GV68" s="180"/>
      <c r="GW68" s="180"/>
      <c r="GX68" s="180"/>
      <c r="GY68" s="180"/>
      <c r="GZ68" s="180"/>
      <c r="HA68" s="180"/>
      <c r="HB68" s="180"/>
      <c r="HC68" s="180"/>
      <c r="HD68" s="180"/>
      <c r="HE68" s="180"/>
      <c r="HF68" s="180"/>
      <c r="HG68" s="180"/>
      <c r="HH68" s="180"/>
      <c r="HI68" s="180"/>
      <c r="HJ68" s="180"/>
      <c r="HK68" s="180"/>
      <c r="HL68" s="180"/>
      <c r="HM68" s="180"/>
      <c r="HN68" s="180"/>
      <c r="HO68" s="180"/>
      <c r="HP68" s="180"/>
      <c r="HQ68" s="180"/>
      <c r="HR68" s="180"/>
      <c r="HS68" s="180"/>
      <c r="HT68" s="180"/>
      <c r="HU68" s="180"/>
      <c r="HV68" s="180"/>
      <c r="HW68" s="180"/>
      <c r="HX68" s="180"/>
      <c r="HY68" s="180"/>
      <c r="HZ68" s="180"/>
      <c r="IA68" s="180"/>
      <c r="IB68" s="180"/>
      <c r="IC68" s="180"/>
      <c r="ID68" s="180"/>
      <c r="IE68" s="180"/>
      <c r="IF68" s="180"/>
      <c r="IG68" s="180"/>
      <c r="IH68" s="180"/>
      <c r="II68" s="180"/>
      <c r="IJ68" s="180"/>
      <c r="IK68" s="180"/>
      <c r="IL68" s="180"/>
      <c r="IM68" s="180"/>
      <c r="IN68" s="180"/>
      <c r="IO68" s="180"/>
      <c r="IP68" s="180"/>
      <c r="IQ68" s="180"/>
      <c r="IR68" s="180"/>
      <c r="IS68" s="180"/>
      <c r="IT68" s="180"/>
      <c r="IU68" s="180"/>
      <c r="IV68" s="180"/>
      <c r="IW68" s="180"/>
      <c r="IX68" s="180"/>
      <c r="IY68" s="180"/>
      <c r="IZ68" s="180"/>
      <c r="JA68" s="180"/>
      <c r="JB68" s="180"/>
      <c r="JC68" s="180"/>
      <c r="JD68" s="180"/>
      <c r="JE68" s="180"/>
      <c r="JF68" s="180"/>
      <c r="JG68" s="180"/>
      <c r="JH68" s="180"/>
      <c r="JI68" s="180"/>
      <c r="JJ68" s="180"/>
      <c r="JK68" s="180"/>
      <c r="JL68" s="180"/>
      <c r="JM68" s="180"/>
      <c r="JN68" s="180"/>
      <c r="JO68" s="180"/>
      <c r="JP68" s="180"/>
      <c r="JQ68" s="180"/>
      <c r="JR68" s="180"/>
      <c r="JS68" s="180"/>
      <c r="JT68" s="180"/>
    </row>
    <row r="69" spans="1:280" ht="20.100000000000001" customHeight="1" x14ac:dyDescent="0.25">
      <c r="A69" s="100" t="s">
        <v>18</v>
      </c>
      <c r="B69" s="63"/>
      <c r="C69" s="193"/>
      <c r="D69" s="146" t="str">
        <f t="shared" si="0"/>
        <v>12h55min</v>
      </c>
      <c r="E69" s="31">
        <v>155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90"/>
    </row>
    <row r="70" spans="1:280" ht="20.100000000000001" customHeight="1" x14ac:dyDescent="0.3">
      <c r="A70" s="100" t="s">
        <v>19</v>
      </c>
      <c r="B70" s="63"/>
      <c r="C70" s="194"/>
      <c r="D70" s="148" t="str">
        <f t="shared" si="0"/>
        <v>5h</v>
      </c>
      <c r="E70" s="35">
        <v>60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179"/>
      <c r="GE70" s="180"/>
      <c r="GF70" s="180"/>
      <c r="GG70" s="180"/>
      <c r="GH70" s="180"/>
      <c r="GI70" s="180"/>
      <c r="GJ70" s="180"/>
      <c r="GK70" s="180"/>
      <c r="GL70" s="180"/>
      <c r="GM70" s="180"/>
      <c r="GN70" s="180"/>
      <c r="GO70" s="180"/>
      <c r="GP70" s="180"/>
      <c r="GQ70" s="180"/>
      <c r="GR70" s="180"/>
      <c r="GS70" s="180"/>
      <c r="GT70" s="180"/>
      <c r="GU70" s="180"/>
      <c r="GV70" s="180"/>
      <c r="GW70" s="180"/>
      <c r="GX70" s="180"/>
      <c r="GY70" s="180"/>
      <c r="GZ70" s="180"/>
      <c r="HA70" s="180"/>
      <c r="HB70" s="180"/>
      <c r="HC70" s="180"/>
      <c r="HD70" s="180"/>
      <c r="HE70" s="180"/>
      <c r="HF70" s="180"/>
      <c r="HG70" s="180"/>
      <c r="HH70" s="180"/>
      <c r="HI70" s="180"/>
      <c r="HJ70" s="180"/>
      <c r="HK70" s="180"/>
      <c r="HL70" s="180"/>
      <c r="HM70" s="180"/>
      <c r="HN70" s="180"/>
      <c r="HO70" s="180"/>
      <c r="HP70" s="180"/>
      <c r="HQ70" s="180"/>
      <c r="HR70" s="180"/>
      <c r="HS70" s="180"/>
      <c r="HT70" s="180"/>
      <c r="HU70" s="180"/>
      <c r="HV70" s="180"/>
      <c r="HW70" s="180"/>
      <c r="HX70" s="180"/>
      <c r="HY70" s="180"/>
      <c r="HZ70" s="180"/>
      <c r="IA70" s="180"/>
      <c r="IB70" s="180"/>
      <c r="IC70" s="180"/>
      <c r="ID70" s="180"/>
      <c r="IE70" s="180"/>
      <c r="IF70" s="180"/>
      <c r="IG70" s="180"/>
      <c r="IH70" s="180"/>
      <c r="II70" s="180"/>
      <c r="IJ70" s="180"/>
      <c r="IK70" s="180"/>
      <c r="IL70" s="180"/>
      <c r="IM70" s="180"/>
      <c r="IN70" s="180"/>
      <c r="IO70" s="180"/>
      <c r="IP70" s="180"/>
      <c r="IQ70" s="180"/>
      <c r="IR70" s="180"/>
      <c r="IS70" s="180"/>
      <c r="IT70" s="180"/>
      <c r="IU70" s="180"/>
      <c r="IV70" s="180"/>
      <c r="IW70" s="180"/>
      <c r="IX70" s="180"/>
      <c r="IY70" s="180"/>
      <c r="IZ70" s="180"/>
      <c r="JA70" s="180"/>
      <c r="JB70" s="180"/>
      <c r="JC70" s="180"/>
      <c r="JD70" s="180"/>
      <c r="JE70" s="180"/>
      <c r="JF70" s="180"/>
      <c r="JG70" s="180"/>
      <c r="JH70" s="180"/>
      <c r="JI70" s="180"/>
      <c r="JJ70" s="180"/>
      <c r="JK70" s="180"/>
      <c r="JL70" s="180"/>
      <c r="JM70" s="180"/>
      <c r="JN70" s="180"/>
      <c r="JO70" s="180"/>
      <c r="JP70" s="180"/>
      <c r="JQ70" s="180"/>
      <c r="JR70" s="180"/>
      <c r="JS70" s="180"/>
      <c r="JT70" s="180"/>
    </row>
    <row r="71" spans="1:280" ht="20.100000000000001" customHeight="1" x14ac:dyDescent="0.25">
      <c r="A71" s="100" t="s">
        <v>18</v>
      </c>
      <c r="B71" s="63"/>
      <c r="C71" s="193"/>
      <c r="D71" s="146" t="str">
        <f t="shared" si="0"/>
        <v>12h55min</v>
      </c>
      <c r="E71" s="39">
        <v>155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90"/>
    </row>
    <row r="72" spans="1:280" ht="20.100000000000001" customHeight="1" x14ac:dyDescent="0.25">
      <c r="A72" s="100" t="s">
        <v>19</v>
      </c>
      <c r="B72" s="63"/>
      <c r="C72" s="195"/>
      <c r="D72" s="147" t="str">
        <f t="shared" si="0"/>
        <v>5h</v>
      </c>
      <c r="E72" s="27">
        <v>60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179"/>
      <c r="GE72" s="180"/>
      <c r="GF72" s="180"/>
      <c r="GG72" s="180"/>
      <c r="GH72" s="180"/>
      <c r="GI72" s="180"/>
      <c r="GJ72" s="180"/>
      <c r="GK72" s="180"/>
      <c r="GL72" s="180"/>
      <c r="GM72" s="180"/>
      <c r="GN72" s="180"/>
      <c r="GO72" s="180"/>
      <c r="GP72" s="180"/>
      <c r="GQ72" s="180"/>
      <c r="GR72" s="180"/>
      <c r="GS72" s="180"/>
      <c r="GT72" s="180"/>
      <c r="GU72" s="180"/>
      <c r="GV72" s="180"/>
      <c r="GW72" s="180"/>
      <c r="GX72" s="180"/>
      <c r="GY72" s="180"/>
      <c r="GZ72" s="180"/>
      <c r="HA72" s="180"/>
      <c r="HB72" s="180"/>
      <c r="HC72" s="180"/>
      <c r="HD72" s="180"/>
      <c r="HE72" s="180"/>
      <c r="HF72" s="180"/>
      <c r="HG72" s="180"/>
      <c r="HH72" s="180"/>
      <c r="HI72" s="180"/>
      <c r="HJ72" s="180"/>
      <c r="HK72" s="180"/>
      <c r="HL72" s="180"/>
      <c r="HM72" s="180"/>
      <c r="HN72" s="180"/>
      <c r="HO72" s="180"/>
      <c r="HP72" s="180"/>
      <c r="HQ72" s="180"/>
      <c r="HR72" s="180"/>
      <c r="HS72" s="180"/>
      <c r="HT72" s="180"/>
      <c r="HU72" s="180"/>
      <c r="HV72" s="180"/>
      <c r="HW72" s="180"/>
      <c r="HX72" s="180"/>
      <c r="HY72" s="180"/>
      <c r="HZ72" s="180"/>
      <c r="IA72" s="180"/>
      <c r="IB72" s="180"/>
      <c r="IC72" s="180"/>
      <c r="ID72" s="180"/>
      <c r="IE72" s="180"/>
      <c r="IF72" s="180"/>
      <c r="IG72" s="180"/>
      <c r="IH72" s="180"/>
      <c r="II72" s="180"/>
      <c r="IJ72" s="180"/>
      <c r="IK72" s="180"/>
      <c r="IL72" s="180"/>
      <c r="IM72" s="180"/>
      <c r="IN72" s="180"/>
      <c r="IO72" s="180"/>
      <c r="IP72" s="180"/>
      <c r="IQ72" s="180"/>
      <c r="IR72" s="180"/>
      <c r="IS72" s="180"/>
      <c r="IT72" s="180"/>
      <c r="IU72" s="180"/>
      <c r="IV72" s="180"/>
      <c r="IW72" s="180"/>
      <c r="IX72" s="180"/>
      <c r="IY72" s="180"/>
      <c r="IZ72" s="180"/>
      <c r="JA72" s="180"/>
      <c r="JB72" s="180"/>
      <c r="JC72" s="180"/>
      <c r="JD72" s="180"/>
      <c r="JE72" s="180"/>
      <c r="JF72" s="180"/>
      <c r="JG72" s="180"/>
      <c r="JH72" s="180"/>
      <c r="JI72" s="180"/>
      <c r="JJ72" s="180"/>
      <c r="JK72" s="180"/>
      <c r="JL72" s="180"/>
      <c r="JM72" s="180"/>
      <c r="JN72" s="180"/>
      <c r="JO72" s="180"/>
      <c r="JP72" s="180"/>
      <c r="JQ72" s="180"/>
      <c r="JR72" s="180"/>
      <c r="JS72" s="180"/>
      <c r="JT72" s="180"/>
    </row>
    <row r="73" spans="1:280" ht="20.100000000000001" customHeight="1" x14ac:dyDescent="0.25">
      <c r="A73" s="100" t="s">
        <v>18</v>
      </c>
      <c r="B73" s="63"/>
      <c r="C73" s="193"/>
      <c r="D73" s="146" t="str">
        <f t="shared" si="0"/>
        <v>12h55min</v>
      </c>
      <c r="E73" s="31">
        <v>155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90"/>
    </row>
    <row r="74" spans="1:280" ht="20.100000000000001" customHeight="1" x14ac:dyDescent="0.3">
      <c r="A74" s="100" t="s">
        <v>19</v>
      </c>
      <c r="B74" s="63"/>
      <c r="C74" s="194"/>
      <c r="D74" s="148" t="str">
        <f t="shared" si="0"/>
        <v>5h</v>
      </c>
      <c r="E74" s="35">
        <v>60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179"/>
      <c r="GE74" s="180"/>
      <c r="GF74" s="180"/>
      <c r="GG74" s="180"/>
      <c r="GH74" s="180"/>
      <c r="GI74" s="180"/>
      <c r="GJ74" s="180"/>
      <c r="GK74" s="180"/>
      <c r="GL74" s="180"/>
      <c r="GM74" s="180"/>
      <c r="GN74" s="180"/>
      <c r="GO74" s="180"/>
      <c r="GP74" s="180"/>
      <c r="GQ74" s="180"/>
      <c r="GR74" s="180"/>
      <c r="GS74" s="180"/>
      <c r="GT74" s="180"/>
      <c r="GU74" s="180"/>
      <c r="GV74" s="180"/>
      <c r="GW74" s="180"/>
      <c r="GX74" s="180"/>
      <c r="GY74" s="180"/>
      <c r="GZ74" s="180"/>
      <c r="HA74" s="180"/>
      <c r="HB74" s="180"/>
      <c r="HC74" s="180"/>
      <c r="HD74" s="180"/>
      <c r="HE74" s="180"/>
      <c r="HF74" s="180"/>
      <c r="HG74" s="180"/>
      <c r="HH74" s="180"/>
      <c r="HI74" s="180"/>
      <c r="HJ74" s="180"/>
      <c r="HK74" s="180"/>
      <c r="HL74" s="180"/>
      <c r="HM74" s="180"/>
      <c r="HN74" s="180"/>
      <c r="HO74" s="180"/>
      <c r="HP74" s="180"/>
      <c r="HQ74" s="180"/>
      <c r="HR74" s="180"/>
      <c r="HS74" s="180"/>
      <c r="HT74" s="180"/>
      <c r="HU74" s="180"/>
      <c r="HV74" s="180"/>
      <c r="HW74" s="180"/>
      <c r="HX74" s="180"/>
      <c r="HY74" s="180"/>
      <c r="HZ74" s="180"/>
      <c r="IA74" s="180"/>
      <c r="IB74" s="180"/>
      <c r="IC74" s="180"/>
      <c r="ID74" s="180"/>
      <c r="IE74" s="180"/>
      <c r="IF74" s="180"/>
      <c r="IG74" s="180"/>
      <c r="IH74" s="180"/>
      <c r="II74" s="180"/>
      <c r="IJ74" s="180"/>
      <c r="IK74" s="180"/>
      <c r="IL74" s="180"/>
      <c r="IM74" s="180"/>
      <c r="IN74" s="180"/>
      <c r="IO74" s="180"/>
      <c r="IP74" s="180"/>
      <c r="IQ74" s="180"/>
      <c r="IR74" s="180"/>
      <c r="IS74" s="180"/>
      <c r="IT74" s="180"/>
      <c r="IU74" s="180"/>
      <c r="IV74" s="180"/>
      <c r="IW74" s="180"/>
      <c r="IX74" s="180"/>
      <c r="IY74" s="180"/>
      <c r="IZ74" s="180"/>
      <c r="JA74" s="180"/>
      <c r="JB74" s="180"/>
      <c r="JC74" s="180"/>
      <c r="JD74" s="180"/>
      <c r="JE74" s="180"/>
      <c r="JF74" s="180"/>
      <c r="JG74" s="180"/>
      <c r="JH74" s="180"/>
      <c r="JI74" s="180"/>
      <c r="JJ74" s="180"/>
      <c r="JK74" s="180"/>
      <c r="JL74" s="180"/>
      <c r="JM74" s="180"/>
      <c r="JN74" s="180"/>
      <c r="JO74" s="180"/>
      <c r="JP74" s="180"/>
      <c r="JQ74" s="180"/>
      <c r="JR74" s="180"/>
      <c r="JS74" s="180"/>
      <c r="JT74" s="180"/>
    </row>
    <row r="75" spans="1:280" ht="20.100000000000001" customHeight="1" x14ac:dyDescent="0.25">
      <c r="A75" s="100" t="s">
        <v>18</v>
      </c>
      <c r="B75" s="63"/>
      <c r="C75" s="193"/>
      <c r="D75" s="146" t="str">
        <f t="shared" si="0"/>
        <v>12h55min</v>
      </c>
      <c r="E75" s="31">
        <v>155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90"/>
    </row>
    <row r="76" spans="1:280" ht="20.100000000000001" customHeight="1" x14ac:dyDescent="0.3">
      <c r="A76" s="100" t="s">
        <v>19</v>
      </c>
      <c r="B76" s="63"/>
      <c r="C76" s="194"/>
      <c r="D76" s="148" t="str">
        <f t="shared" si="0"/>
        <v>5h</v>
      </c>
      <c r="E76" s="35">
        <v>60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179"/>
      <c r="GE76" s="180"/>
      <c r="GF76" s="180"/>
      <c r="GG76" s="180"/>
      <c r="GH76" s="180"/>
      <c r="GI76" s="180"/>
      <c r="GJ76" s="180"/>
      <c r="GK76" s="180"/>
      <c r="GL76" s="180"/>
      <c r="GM76" s="180"/>
      <c r="GN76" s="180"/>
      <c r="GO76" s="180"/>
      <c r="GP76" s="180"/>
      <c r="GQ76" s="180"/>
      <c r="GR76" s="180"/>
      <c r="GS76" s="180"/>
      <c r="GT76" s="180"/>
      <c r="GU76" s="180"/>
      <c r="GV76" s="180"/>
      <c r="GW76" s="180"/>
      <c r="GX76" s="180"/>
      <c r="GY76" s="180"/>
      <c r="GZ76" s="180"/>
      <c r="HA76" s="180"/>
      <c r="HB76" s="180"/>
      <c r="HC76" s="180"/>
      <c r="HD76" s="180"/>
      <c r="HE76" s="180"/>
      <c r="HF76" s="180"/>
      <c r="HG76" s="180"/>
      <c r="HH76" s="180"/>
      <c r="HI76" s="180"/>
      <c r="HJ76" s="180"/>
      <c r="HK76" s="180"/>
      <c r="HL76" s="180"/>
      <c r="HM76" s="180"/>
      <c r="HN76" s="180"/>
      <c r="HO76" s="180"/>
      <c r="HP76" s="180"/>
      <c r="HQ76" s="180"/>
      <c r="HR76" s="180"/>
      <c r="HS76" s="180"/>
      <c r="HT76" s="180"/>
      <c r="HU76" s="180"/>
      <c r="HV76" s="180"/>
      <c r="HW76" s="180"/>
      <c r="HX76" s="180"/>
      <c r="HY76" s="180"/>
      <c r="HZ76" s="180"/>
      <c r="IA76" s="180"/>
      <c r="IB76" s="180"/>
      <c r="IC76" s="180"/>
      <c r="ID76" s="180"/>
      <c r="IE76" s="180"/>
      <c r="IF76" s="180"/>
      <c r="IG76" s="180"/>
      <c r="IH76" s="180"/>
      <c r="II76" s="180"/>
      <c r="IJ76" s="180"/>
      <c r="IK76" s="180"/>
      <c r="IL76" s="180"/>
      <c r="IM76" s="180"/>
      <c r="IN76" s="180"/>
      <c r="IO76" s="180"/>
      <c r="IP76" s="180"/>
      <c r="IQ76" s="180"/>
      <c r="IR76" s="180"/>
      <c r="IS76" s="180"/>
      <c r="IT76" s="180"/>
      <c r="IU76" s="180"/>
      <c r="IV76" s="180"/>
      <c r="IW76" s="180"/>
      <c r="IX76" s="180"/>
      <c r="IY76" s="180"/>
      <c r="IZ76" s="180"/>
      <c r="JA76" s="180"/>
      <c r="JB76" s="180"/>
      <c r="JC76" s="180"/>
      <c r="JD76" s="180"/>
      <c r="JE76" s="180"/>
      <c r="JF76" s="180"/>
      <c r="JG76" s="180"/>
      <c r="JH76" s="180"/>
      <c r="JI76" s="180"/>
      <c r="JJ76" s="180"/>
      <c r="JK76" s="180"/>
      <c r="JL76" s="180"/>
      <c r="JM76" s="180"/>
      <c r="JN76" s="180"/>
      <c r="JO76" s="180"/>
      <c r="JP76" s="180"/>
      <c r="JQ76" s="180"/>
      <c r="JR76" s="180"/>
      <c r="JS76" s="180"/>
      <c r="JT76" s="180"/>
    </row>
    <row r="77" spans="1:280" ht="20.100000000000001" customHeight="1" x14ac:dyDescent="0.25">
      <c r="A77" s="100" t="s">
        <v>18</v>
      </c>
      <c r="B77" s="63"/>
      <c r="C77" s="193"/>
      <c r="D77" s="146" t="str">
        <f t="shared" si="0"/>
        <v>12h55min</v>
      </c>
      <c r="E77" s="39">
        <v>155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90"/>
    </row>
    <row r="78" spans="1:280" ht="20.100000000000001" customHeight="1" x14ac:dyDescent="0.25">
      <c r="A78" s="100" t="s">
        <v>19</v>
      </c>
      <c r="B78" s="63"/>
      <c r="C78" s="195"/>
      <c r="D78" s="147" t="str">
        <f t="shared" si="0"/>
        <v>5h</v>
      </c>
      <c r="E78" s="102">
        <v>60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179"/>
      <c r="GE78" s="180"/>
      <c r="GF78" s="180"/>
      <c r="GG78" s="180"/>
      <c r="GH78" s="180"/>
      <c r="GI78" s="180"/>
      <c r="GJ78" s="180"/>
      <c r="GK78" s="180"/>
      <c r="GL78" s="180"/>
      <c r="GM78" s="180"/>
      <c r="GN78" s="180"/>
      <c r="GO78" s="180"/>
      <c r="GP78" s="180"/>
      <c r="GQ78" s="180"/>
      <c r="GR78" s="180"/>
      <c r="GS78" s="180"/>
      <c r="GT78" s="180"/>
      <c r="GU78" s="180"/>
      <c r="GV78" s="180"/>
      <c r="GW78" s="180"/>
      <c r="GX78" s="180"/>
      <c r="GY78" s="180"/>
      <c r="GZ78" s="180"/>
      <c r="HA78" s="180"/>
      <c r="HB78" s="180"/>
      <c r="HC78" s="180"/>
      <c r="HD78" s="180"/>
      <c r="HE78" s="180"/>
      <c r="HF78" s="180"/>
      <c r="HG78" s="180"/>
      <c r="HH78" s="180"/>
      <c r="HI78" s="180"/>
      <c r="HJ78" s="180"/>
      <c r="HK78" s="180"/>
      <c r="HL78" s="180"/>
      <c r="HM78" s="180"/>
      <c r="HN78" s="180"/>
      <c r="HO78" s="180"/>
      <c r="HP78" s="180"/>
      <c r="HQ78" s="180"/>
      <c r="HR78" s="180"/>
      <c r="HS78" s="180"/>
      <c r="HT78" s="180"/>
      <c r="HU78" s="180"/>
      <c r="HV78" s="180"/>
      <c r="HW78" s="180"/>
      <c r="HX78" s="180"/>
      <c r="HY78" s="180"/>
      <c r="HZ78" s="180"/>
      <c r="IA78" s="180"/>
      <c r="IB78" s="180"/>
      <c r="IC78" s="180"/>
      <c r="ID78" s="180"/>
      <c r="IE78" s="180"/>
      <c r="IF78" s="180"/>
      <c r="IG78" s="180"/>
      <c r="IH78" s="180"/>
      <c r="II78" s="180"/>
      <c r="IJ78" s="180"/>
      <c r="IK78" s="180"/>
      <c r="IL78" s="180"/>
      <c r="IM78" s="180"/>
      <c r="IN78" s="180"/>
      <c r="IO78" s="180"/>
      <c r="IP78" s="180"/>
      <c r="IQ78" s="180"/>
      <c r="IR78" s="180"/>
      <c r="IS78" s="180"/>
      <c r="IT78" s="180"/>
      <c r="IU78" s="180"/>
      <c r="IV78" s="180"/>
      <c r="IW78" s="180"/>
      <c r="IX78" s="180"/>
      <c r="IY78" s="180"/>
      <c r="IZ78" s="180"/>
      <c r="JA78" s="180"/>
      <c r="JB78" s="180"/>
      <c r="JC78" s="180"/>
      <c r="JD78" s="180"/>
      <c r="JE78" s="180"/>
      <c r="JF78" s="180"/>
      <c r="JG78" s="180"/>
      <c r="JH78" s="180"/>
      <c r="JI78" s="180"/>
      <c r="JJ78" s="180"/>
      <c r="JK78" s="180"/>
      <c r="JL78" s="180"/>
      <c r="JM78" s="180"/>
      <c r="JN78" s="180"/>
      <c r="JO78" s="180"/>
      <c r="JP78" s="180"/>
      <c r="JQ78" s="180"/>
      <c r="JR78" s="180"/>
      <c r="JS78" s="180"/>
      <c r="JT78" s="180"/>
    </row>
    <row r="79" spans="1:280" ht="20.100000000000001" customHeight="1" x14ac:dyDescent="0.25">
      <c r="A79" s="100" t="s">
        <v>18</v>
      </c>
      <c r="B79" s="63"/>
      <c r="C79" s="193"/>
      <c r="D79" s="146" t="str">
        <f t="shared" si="0"/>
        <v>12h55min</v>
      </c>
      <c r="E79" s="39">
        <v>155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90"/>
    </row>
    <row r="80" spans="1:280" ht="20.100000000000001" customHeight="1" x14ac:dyDescent="0.3">
      <c r="A80" s="100" t="s">
        <v>19</v>
      </c>
      <c r="B80" s="63"/>
      <c r="C80" s="194"/>
      <c r="D80" s="148" t="str">
        <f t="shared" ref="D80:D94" si="1">setValueToTime(E80)</f>
        <v>5h</v>
      </c>
      <c r="E80" s="27">
        <v>60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179"/>
      <c r="GE80" s="180"/>
      <c r="GF80" s="180"/>
      <c r="GG80" s="180"/>
      <c r="GH80" s="180"/>
      <c r="GI80" s="180"/>
      <c r="GJ80" s="180"/>
      <c r="GK80" s="180"/>
      <c r="GL80" s="180"/>
      <c r="GM80" s="180"/>
      <c r="GN80" s="180"/>
      <c r="GO80" s="180"/>
      <c r="GP80" s="180"/>
      <c r="GQ80" s="180"/>
      <c r="GR80" s="180"/>
      <c r="GS80" s="180"/>
      <c r="GT80" s="180"/>
      <c r="GU80" s="180"/>
      <c r="GV80" s="180"/>
      <c r="GW80" s="180"/>
      <c r="GX80" s="180"/>
      <c r="GY80" s="180"/>
      <c r="GZ80" s="180"/>
      <c r="HA80" s="180"/>
      <c r="HB80" s="180"/>
      <c r="HC80" s="180"/>
      <c r="HD80" s="180"/>
      <c r="HE80" s="180"/>
      <c r="HF80" s="180"/>
      <c r="HG80" s="180"/>
      <c r="HH80" s="180"/>
      <c r="HI80" s="180"/>
      <c r="HJ80" s="180"/>
      <c r="HK80" s="180"/>
      <c r="HL80" s="180"/>
      <c r="HM80" s="180"/>
      <c r="HN80" s="180"/>
      <c r="HO80" s="180"/>
      <c r="HP80" s="180"/>
      <c r="HQ80" s="180"/>
      <c r="HR80" s="180"/>
      <c r="HS80" s="180"/>
      <c r="HT80" s="180"/>
      <c r="HU80" s="180"/>
      <c r="HV80" s="180"/>
      <c r="HW80" s="180"/>
      <c r="HX80" s="180"/>
      <c r="HY80" s="180"/>
      <c r="HZ80" s="180"/>
      <c r="IA80" s="180"/>
      <c r="IB80" s="180"/>
      <c r="IC80" s="180"/>
      <c r="ID80" s="180"/>
      <c r="IE80" s="180"/>
      <c r="IF80" s="180"/>
      <c r="IG80" s="180"/>
      <c r="IH80" s="180"/>
      <c r="II80" s="180"/>
      <c r="IJ80" s="180"/>
      <c r="IK80" s="180"/>
      <c r="IL80" s="180"/>
      <c r="IM80" s="180"/>
      <c r="IN80" s="180"/>
      <c r="IO80" s="180"/>
      <c r="IP80" s="180"/>
      <c r="IQ80" s="180"/>
      <c r="IR80" s="180"/>
      <c r="IS80" s="180"/>
      <c r="IT80" s="180"/>
      <c r="IU80" s="180"/>
      <c r="IV80" s="180"/>
      <c r="IW80" s="180"/>
      <c r="IX80" s="180"/>
      <c r="IY80" s="180"/>
      <c r="IZ80" s="180"/>
      <c r="JA80" s="180"/>
      <c r="JB80" s="180"/>
      <c r="JC80" s="180"/>
      <c r="JD80" s="180"/>
      <c r="JE80" s="180"/>
      <c r="JF80" s="180"/>
      <c r="JG80" s="180"/>
      <c r="JH80" s="180"/>
      <c r="JI80" s="180"/>
      <c r="JJ80" s="180"/>
      <c r="JK80" s="180"/>
      <c r="JL80" s="180"/>
      <c r="JM80" s="180"/>
      <c r="JN80" s="180"/>
      <c r="JO80" s="180"/>
      <c r="JP80" s="180"/>
      <c r="JQ80" s="180"/>
      <c r="JR80" s="180"/>
      <c r="JS80" s="180"/>
      <c r="JT80" s="180"/>
    </row>
    <row r="81" spans="1:280" ht="20.100000000000001" customHeight="1" x14ac:dyDescent="0.25">
      <c r="A81" s="100" t="s">
        <v>18</v>
      </c>
      <c r="B81" s="63"/>
      <c r="C81" s="193"/>
      <c r="D81" s="146" t="str">
        <f t="shared" si="1"/>
        <v>12h55min</v>
      </c>
      <c r="E81" s="31">
        <v>155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90"/>
    </row>
    <row r="82" spans="1:280" ht="20.100000000000001" customHeight="1" x14ac:dyDescent="0.3">
      <c r="A82" s="100" t="s">
        <v>19</v>
      </c>
      <c r="B82" s="63"/>
      <c r="C82" s="194"/>
      <c r="D82" s="148" t="str">
        <f t="shared" si="1"/>
        <v>5h</v>
      </c>
      <c r="E82" s="35">
        <v>60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179"/>
      <c r="GE82" s="180"/>
      <c r="GF82" s="180"/>
      <c r="GG82" s="180"/>
      <c r="GH82" s="180"/>
      <c r="GI82" s="180"/>
      <c r="GJ82" s="180"/>
      <c r="GK82" s="180"/>
      <c r="GL82" s="180"/>
      <c r="GM82" s="180"/>
      <c r="GN82" s="180"/>
      <c r="GO82" s="180"/>
      <c r="GP82" s="180"/>
      <c r="GQ82" s="180"/>
      <c r="GR82" s="180"/>
      <c r="GS82" s="180"/>
      <c r="GT82" s="180"/>
      <c r="GU82" s="180"/>
      <c r="GV82" s="180"/>
      <c r="GW82" s="180"/>
      <c r="GX82" s="180"/>
      <c r="GY82" s="180"/>
      <c r="GZ82" s="180"/>
      <c r="HA82" s="180"/>
      <c r="HB82" s="180"/>
      <c r="HC82" s="180"/>
      <c r="HD82" s="180"/>
      <c r="HE82" s="180"/>
      <c r="HF82" s="180"/>
      <c r="HG82" s="180"/>
      <c r="HH82" s="180"/>
      <c r="HI82" s="180"/>
      <c r="HJ82" s="180"/>
      <c r="HK82" s="180"/>
      <c r="HL82" s="180"/>
      <c r="HM82" s="180"/>
      <c r="HN82" s="180"/>
      <c r="HO82" s="180"/>
      <c r="HP82" s="180"/>
      <c r="HQ82" s="180"/>
      <c r="HR82" s="180"/>
      <c r="HS82" s="180"/>
      <c r="HT82" s="180"/>
      <c r="HU82" s="180"/>
      <c r="HV82" s="180"/>
      <c r="HW82" s="180"/>
      <c r="HX82" s="180"/>
      <c r="HY82" s="180"/>
      <c r="HZ82" s="180"/>
      <c r="IA82" s="180"/>
      <c r="IB82" s="180"/>
      <c r="IC82" s="180"/>
      <c r="ID82" s="180"/>
      <c r="IE82" s="180"/>
      <c r="IF82" s="180"/>
      <c r="IG82" s="180"/>
      <c r="IH82" s="180"/>
      <c r="II82" s="180"/>
      <c r="IJ82" s="180"/>
      <c r="IK82" s="180"/>
      <c r="IL82" s="180"/>
      <c r="IM82" s="180"/>
      <c r="IN82" s="180"/>
      <c r="IO82" s="180"/>
      <c r="IP82" s="180"/>
      <c r="IQ82" s="180"/>
      <c r="IR82" s="180"/>
      <c r="IS82" s="180"/>
      <c r="IT82" s="180"/>
      <c r="IU82" s="180"/>
      <c r="IV82" s="180"/>
      <c r="IW82" s="180"/>
      <c r="IX82" s="180"/>
      <c r="IY82" s="180"/>
      <c r="IZ82" s="180"/>
      <c r="JA82" s="180"/>
      <c r="JB82" s="180"/>
      <c r="JC82" s="180"/>
      <c r="JD82" s="180"/>
      <c r="JE82" s="180"/>
      <c r="JF82" s="180"/>
      <c r="JG82" s="180"/>
      <c r="JH82" s="180"/>
      <c r="JI82" s="180"/>
      <c r="JJ82" s="180"/>
      <c r="JK82" s="180"/>
      <c r="JL82" s="180"/>
      <c r="JM82" s="180"/>
      <c r="JN82" s="180"/>
      <c r="JO82" s="180"/>
      <c r="JP82" s="180"/>
      <c r="JQ82" s="180"/>
      <c r="JR82" s="180"/>
      <c r="JS82" s="180"/>
      <c r="JT82" s="180"/>
    </row>
    <row r="83" spans="1:280" ht="20.100000000000001" customHeight="1" x14ac:dyDescent="0.25">
      <c r="A83" s="100" t="s">
        <v>18</v>
      </c>
      <c r="B83" s="63"/>
      <c r="C83" s="193"/>
      <c r="D83" s="146" t="str">
        <f t="shared" si="1"/>
        <v>12h55min</v>
      </c>
      <c r="E83" s="39">
        <v>155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90"/>
    </row>
    <row r="84" spans="1:280" ht="20.100000000000001" customHeight="1" x14ac:dyDescent="0.25">
      <c r="A84" s="100" t="s">
        <v>19</v>
      </c>
      <c r="B84" s="63"/>
      <c r="C84" s="195"/>
      <c r="D84" s="147" t="str">
        <f t="shared" si="1"/>
        <v>5h</v>
      </c>
      <c r="E84" s="27">
        <v>60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179"/>
      <c r="GE84" s="180"/>
      <c r="GF84" s="180"/>
      <c r="GG84" s="180"/>
      <c r="GH84" s="180"/>
      <c r="GI84" s="180"/>
      <c r="GJ84" s="180"/>
      <c r="GK84" s="180"/>
      <c r="GL84" s="180"/>
      <c r="GM84" s="180"/>
      <c r="GN84" s="180"/>
      <c r="GO84" s="180"/>
      <c r="GP84" s="180"/>
      <c r="GQ84" s="180"/>
      <c r="GR84" s="180"/>
      <c r="GS84" s="180"/>
      <c r="GT84" s="180"/>
      <c r="GU84" s="180"/>
      <c r="GV84" s="180"/>
      <c r="GW84" s="180"/>
      <c r="GX84" s="180"/>
      <c r="GY84" s="180"/>
      <c r="GZ84" s="180"/>
      <c r="HA84" s="180"/>
      <c r="HB84" s="180"/>
      <c r="HC84" s="180"/>
      <c r="HD84" s="180"/>
      <c r="HE84" s="180"/>
      <c r="HF84" s="180"/>
      <c r="HG84" s="180"/>
      <c r="HH84" s="180"/>
      <c r="HI84" s="180"/>
      <c r="HJ84" s="180"/>
      <c r="HK84" s="180"/>
      <c r="HL84" s="180"/>
      <c r="HM84" s="180"/>
      <c r="HN84" s="180"/>
      <c r="HO84" s="180"/>
      <c r="HP84" s="180"/>
      <c r="HQ84" s="180"/>
      <c r="HR84" s="180"/>
      <c r="HS84" s="180"/>
      <c r="HT84" s="180"/>
      <c r="HU84" s="180"/>
      <c r="HV84" s="180"/>
      <c r="HW84" s="180"/>
      <c r="HX84" s="180"/>
      <c r="HY84" s="180"/>
      <c r="HZ84" s="180"/>
      <c r="IA84" s="180"/>
      <c r="IB84" s="180"/>
      <c r="IC84" s="180"/>
      <c r="ID84" s="180"/>
      <c r="IE84" s="180"/>
      <c r="IF84" s="180"/>
      <c r="IG84" s="180"/>
      <c r="IH84" s="180"/>
      <c r="II84" s="180"/>
      <c r="IJ84" s="180"/>
      <c r="IK84" s="180"/>
      <c r="IL84" s="180"/>
      <c r="IM84" s="180"/>
      <c r="IN84" s="180"/>
      <c r="IO84" s="180"/>
      <c r="IP84" s="180"/>
      <c r="IQ84" s="180"/>
      <c r="IR84" s="180"/>
      <c r="IS84" s="180"/>
      <c r="IT84" s="180"/>
      <c r="IU84" s="180"/>
      <c r="IV84" s="180"/>
      <c r="IW84" s="180"/>
      <c r="IX84" s="180"/>
      <c r="IY84" s="180"/>
      <c r="IZ84" s="180"/>
      <c r="JA84" s="180"/>
      <c r="JB84" s="180"/>
      <c r="JC84" s="180"/>
      <c r="JD84" s="180"/>
      <c r="JE84" s="180"/>
      <c r="JF84" s="180"/>
      <c r="JG84" s="180"/>
      <c r="JH84" s="180"/>
      <c r="JI84" s="180"/>
      <c r="JJ84" s="180"/>
      <c r="JK84" s="180"/>
      <c r="JL84" s="180"/>
      <c r="JM84" s="180"/>
      <c r="JN84" s="180"/>
      <c r="JO84" s="180"/>
      <c r="JP84" s="180"/>
      <c r="JQ84" s="180"/>
      <c r="JR84" s="180"/>
      <c r="JS84" s="180"/>
      <c r="JT84" s="180"/>
    </row>
    <row r="85" spans="1:280" ht="20.100000000000001" customHeight="1" x14ac:dyDescent="0.25">
      <c r="A85" s="100" t="s">
        <v>18</v>
      </c>
      <c r="B85" s="63"/>
      <c r="C85" s="193"/>
      <c r="D85" s="146" t="str">
        <f t="shared" si="1"/>
        <v>12h55min</v>
      </c>
      <c r="E85" s="31">
        <v>155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90"/>
    </row>
    <row r="86" spans="1:280" ht="20.100000000000001" customHeight="1" x14ac:dyDescent="0.3">
      <c r="A86" s="100" t="s">
        <v>19</v>
      </c>
      <c r="B86" s="63"/>
      <c r="C86" s="194"/>
      <c r="D86" s="148" t="str">
        <f t="shared" si="1"/>
        <v>5h</v>
      </c>
      <c r="E86" s="35">
        <v>60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179"/>
      <c r="GE86" s="180"/>
      <c r="GF86" s="180"/>
      <c r="GG86" s="180"/>
      <c r="GH86" s="180"/>
      <c r="GI86" s="180"/>
      <c r="GJ86" s="180"/>
      <c r="GK86" s="180"/>
      <c r="GL86" s="180"/>
      <c r="GM86" s="180"/>
      <c r="GN86" s="180"/>
      <c r="GO86" s="180"/>
      <c r="GP86" s="180"/>
      <c r="GQ86" s="180"/>
      <c r="GR86" s="180"/>
      <c r="GS86" s="180"/>
      <c r="GT86" s="180"/>
      <c r="GU86" s="180"/>
      <c r="GV86" s="180"/>
      <c r="GW86" s="180"/>
      <c r="GX86" s="180"/>
      <c r="GY86" s="180"/>
      <c r="GZ86" s="180"/>
      <c r="HA86" s="180"/>
      <c r="HB86" s="180"/>
      <c r="HC86" s="180"/>
      <c r="HD86" s="180"/>
      <c r="HE86" s="180"/>
      <c r="HF86" s="180"/>
      <c r="HG86" s="180"/>
      <c r="HH86" s="180"/>
      <c r="HI86" s="180"/>
      <c r="HJ86" s="180"/>
      <c r="HK86" s="180"/>
      <c r="HL86" s="180"/>
      <c r="HM86" s="180"/>
      <c r="HN86" s="180"/>
      <c r="HO86" s="180"/>
      <c r="HP86" s="180"/>
      <c r="HQ86" s="180"/>
      <c r="HR86" s="180"/>
      <c r="HS86" s="180"/>
      <c r="HT86" s="180"/>
      <c r="HU86" s="180"/>
      <c r="HV86" s="180"/>
      <c r="HW86" s="180"/>
      <c r="HX86" s="180"/>
      <c r="HY86" s="180"/>
      <c r="HZ86" s="180"/>
      <c r="IA86" s="180"/>
      <c r="IB86" s="180"/>
      <c r="IC86" s="180"/>
      <c r="ID86" s="180"/>
      <c r="IE86" s="180"/>
      <c r="IF86" s="180"/>
      <c r="IG86" s="180"/>
      <c r="IH86" s="180"/>
      <c r="II86" s="180"/>
      <c r="IJ86" s="180"/>
      <c r="IK86" s="180"/>
      <c r="IL86" s="180"/>
      <c r="IM86" s="180"/>
      <c r="IN86" s="180"/>
      <c r="IO86" s="180"/>
      <c r="IP86" s="180"/>
      <c r="IQ86" s="180"/>
      <c r="IR86" s="180"/>
      <c r="IS86" s="180"/>
      <c r="IT86" s="180"/>
      <c r="IU86" s="180"/>
      <c r="IV86" s="180"/>
      <c r="IW86" s="180"/>
      <c r="IX86" s="180"/>
      <c r="IY86" s="180"/>
      <c r="IZ86" s="180"/>
      <c r="JA86" s="180"/>
      <c r="JB86" s="180"/>
      <c r="JC86" s="180"/>
      <c r="JD86" s="180"/>
      <c r="JE86" s="180"/>
      <c r="JF86" s="180"/>
      <c r="JG86" s="180"/>
      <c r="JH86" s="180"/>
      <c r="JI86" s="180"/>
      <c r="JJ86" s="180"/>
      <c r="JK86" s="180"/>
      <c r="JL86" s="180"/>
      <c r="JM86" s="180"/>
      <c r="JN86" s="180"/>
      <c r="JO86" s="180"/>
      <c r="JP86" s="180"/>
      <c r="JQ86" s="180"/>
      <c r="JR86" s="180"/>
      <c r="JS86" s="180"/>
      <c r="JT86" s="180"/>
    </row>
    <row r="87" spans="1:280" ht="20.100000000000001" customHeight="1" x14ac:dyDescent="0.25">
      <c r="A87" s="100" t="s">
        <v>18</v>
      </c>
      <c r="B87" s="63"/>
      <c r="C87" s="193"/>
      <c r="D87" s="146" t="str">
        <f t="shared" si="1"/>
        <v>12h55min</v>
      </c>
      <c r="E87" s="39">
        <v>155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90"/>
    </row>
    <row r="88" spans="1:280" ht="20.100000000000001" customHeight="1" x14ac:dyDescent="0.25">
      <c r="A88" s="100" t="s">
        <v>19</v>
      </c>
      <c r="B88" s="63"/>
      <c r="C88" s="195"/>
      <c r="D88" s="147" t="str">
        <f t="shared" si="1"/>
        <v>5h</v>
      </c>
      <c r="E88" s="27">
        <v>60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179"/>
      <c r="GE88" s="180"/>
      <c r="GF88" s="180"/>
      <c r="GG88" s="180"/>
      <c r="GH88" s="180"/>
      <c r="GI88" s="180"/>
      <c r="GJ88" s="180"/>
      <c r="GK88" s="180"/>
      <c r="GL88" s="180"/>
      <c r="GM88" s="180"/>
      <c r="GN88" s="180"/>
      <c r="GO88" s="180"/>
      <c r="GP88" s="180"/>
      <c r="GQ88" s="180"/>
      <c r="GR88" s="180"/>
      <c r="GS88" s="180"/>
      <c r="GT88" s="180"/>
      <c r="GU88" s="180"/>
      <c r="GV88" s="180"/>
      <c r="GW88" s="180"/>
      <c r="GX88" s="180"/>
      <c r="GY88" s="180"/>
      <c r="GZ88" s="180"/>
      <c r="HA88" s="180"/>
      <c r="HB88" s="180"/>
      <c r="HC88" s="180"/>
      <c r="HD88" s="180"/>
      <c r="HE88" s="180"/>
      <c r="HF88" s="180"/>
      <c r="HG88" s="180"/>
      <c r="HH88" s="180"/>
      <c r="HI88" s="180"/>
      <c r="HJ88" s="180"/>
      <c r="HK88" s="180"/>
      <c r="HL88" s="180"/>
      <c r="HM88" s="180"/>
      <c r="HN88" s="180"/>
      <c r="HO88" s="180"/>
      <c r="HP88" s="180"/>
      <c r="HQ88" s="180"/>
      <c r="HR88" s="180"/>
      <c r="HS88" s="180"/>
      <c r="HT88" s="180"/>
      <c r="HU88" s="180"/>
      <c r="HV88" s="180"/>
      <c r="HW88" s="180"/>
      <c r="HX88" s="180"/>
      <c r="HY88" s="180"/>
      <c r="HZ88" s="180"/>
      <c r="IA88" s="180"/>
      <c r="IB88" s="180"/>
      <c r="IC88" s="180"/>
      <c r="ID88" s="180"/>
      <c r="IE88" s="180"/>
      <c r="IF88" s="180"/>
      <c r="IG88" s="180"/>
      <c r="IH88" s="180"/>
      <c r="II88" s="180"/>
      <c r="IJ88" s="180"/>
      <c r="IK88" s="180"/>
      <c r="IL88" s="180"/>
      <c r="IM88" s="180"/>
      <c r="IN88" s="180"/>
      <c r="IO88" s="180"/>
      <c r="IP88" s="180"/>
      <c r="IQ88" s="180"/>
      <c r="IR88" s="180"/>
      <c r="IS88" s="180"/>
      <c r="IT88" s="180"/>
      <c r="IU88" s="180"/>
      <c r="IV88" s="180"/>
      <c r="IW88" s="180"/>
      <c r="IX88" s="180"/>
      <c r="IY88" s="180"/>
      <c r="IZ88" s="180"/>
      <c r="JA88" s="180"/>
      <c r="JB88" s="180"/>
      <c r="JC88" s="180"/>
      <c r="JD88" s="180"/>
      <c r="JE88" s="180"/>
      <c r="JF88" s="180"/>
      <c r="JG88" s="180"/>
      <c r="JH88" s="180"/>
      <c r="JI88" s="180"/>
      <c r="JJ88" s="180"/>
      <c r="JK88" s="180"/>
      <c r="JL88" s="180"/>
      <c r="JM88" s="180"/>
      <c r="JN88" s="180"/>
      <c r="JO88" s="180"/>
      <c r="JP88" s="180"/>
      <c r="JQ88" s="180"/>
      <c r="JR88" s="180"/>
      <c r="JS88" s="180"/>
      <c r="JT88" s="180"/>
    </row>
    <row r="89" spans="1:280" ht="20.100000000000001" customHeight="1" x14ac:dyDescent="0.25">
      <c r="A89" s="100" t="s">
        <v>18</v>
      </c>
      <c r="B89" s="63"/>
      <c r="C89" s="193"/>
      <c r="D89" s="146" t="str">
        <f t="shared" si="1"/>
        <v>12h55min</v>
      </c>
      <c r="E89" s="31">
        <v>155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90"/>
    </row>
    <row r="90" spans="1:280" ht="20.100000000000001" customHeight="1" x14ac:dyDescent="0.3">
      <c r="A90" s="100" t="s">
        <v>19</v>
      </c>
      <c r="B90" s="63"/>
      <c r="C90" s="194"/>
      <c r="D90" s="148" t="str">
        <f t="shared" si="1"/>
        <v>5h</v>
      </c>
      <c r="E90" s="35">
        <v>60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179"/>
      <c r="GE90" s="180"/>
      <c r="GF90" s="180"/>
      <c r="GG90" s="180"/>
      <c r="GH90" s="180"/>
      <c r="GI90" s="180"/>
      <c r="GJ90" s="180"/>
      <c r="GK90" s="180"/>
      <c r="GL90" s="180"/>
      <c r="GM90" s="180"/>
      <c r="GN90" s="180"/>
      <c r="GO90" s="180"/>
      <c r="GP90" s="180"/>
      <c r="GQ90" s="180"/>
      <c r="GR90" s="180"/>
      <c r="GS90" s="180"/>
      <c r="GT90" s="180"/>
      <c r="GU90" s="180"/>
      <c r="GV90" s="180"/>
      <c r="GW90" s="180"/>
      <c r="GX90" s="180"/>
      <c r="GY90" s="180"/>
      <c r="GZ90" s="180"/>
      <c r="HA90" s="180"/>
      <c r="HB90" s="180"/>
      <c r="HC90" s="180"/>
      <c r="HD90" s="180"/>
      <c r="HE90" s="180"/>
      <c r="HF90" s="180"/>
      <c r="HG90" s="180"/>
      <c r="HH90" s="180"/>
      <c r="HI90" s="180"/>
      <c r="HJ90" s="180"/>
      <c r="HK90" s="180"/>
      <c r="HL90" s="180"/>
      <c r="HM90" s="180"/>
      <c r="HN90" s="180"/>
      <c r="HO90" s="180"/>
      <c r="HP90" s="180"/>
      <c r="HQ90" s="180"/>
      <c r="HR90" s="180"/>
      <c r="HS90" s="180"/>
      <c r="HT90" s="180"/>
      <c r="HU90" s="180"/>
      <c r="HV90" s="180"/>
      <c r="HW90" s="180"/>
      <c r="HX90" s="180"/>
      <c r="HY90" s="180"/>
      <c r="HZ90" s="180"/>
      <c r="IA90" s="180"/>
      <c r="IB90" s="180"/>
      <c r="IC90" s="180"/>
      <c r="ID90" s="180"/>
      <c r="IE90" s="180"/>
      <c r="IF90" s="180"/>
      <c r="IG90" s="180"/>
      <c r="IH90" s="180"/>
      <c r="II90" s="180"/>
      <c r="IJ90" s="180"/>
      <c r="IK90" s="180"/>
      <c r="IL90" s="180"/>
      <c r="IM90" s="180"/>
      <c r="IN90" s="180"/>
      <c r="IO90" s="180"/>
      <c r="IP90" s="180"/>
      <c r="IQ90" s="180"/>
      <c r="IR90" s="180"/>
      <c r="IS90" s="180"/>
      <c r="IT90" s="180"/>
      <c r="IU90" s="180"/>
      <c r="IV90" s="180"/>
      <c r="IW90" s="180"/>
      <c r="IX90" s="180"/>
      <c r="IY90" s="180"/>
      <c r="IZ90" s="180"/>
      <c r="JA90" s="180"/>
      <c r="JB90" s="180"/>
      <c r="JC90" s="180"/>
      <c r="JD90" s="180"/>
      <c r="JE90" s="180"/>
      <c r="JF90" s="180"/>
      <c r="JG90" s="180"/>
      <c r="JH90" s="180"/>
      <c r="JI90" s="180"/>
      <c r="JJ90" s="180"/>
      <c r="JK90" s="180"/>
      <c r="JL90" s="180"/>
      <c r="JM90" s="180"/>
      <c r="JN90" s="180"/>
      <c r="JO90" s="180"/>
      <c r="JP90" s="180"/>
      <c r="JQ90" s="180"/>
      <c r="JR90" s="180"/>
      <c r="JS90" s="180"/>
      <c r="JT90" s="180"/>
    </row>
    <row r="91" spans="1:280" ht="20.100000000000001" customHeight="1" x14ac:dyDescent="0.25">
      <c r="A91" s="100" t="s">
        <v>18</v>
      </c>
      <c r="B91" s="63"/>
      <c r="C91" s="193"/>
      <c r="D91" s="146" t="str">
        <f t="shared" si="1"/>
        <v>12h55min</v>
      </c>
      <c r="E91" s="31">
        <v>155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90"/>
    </row>
    <row r="92" spans="1:280" ht="20.100000000000001" customHeight="1" x14ac:dyDescent="0.3">
      <c r="A92" s="100" t="s">
        <v>19</v>
      </c>
      <c r="B92" s="63"/>
      <c r="C92" s="194"/>
      <c r="D92" s="148" t="str">
        <f t="shared" si="1"/>
        <v>5h</v>
      </c>
      <c r="E92" s="35">
        <v>60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179"/>
      <c r="GE92" s="180"/>
      <c r="GF92" s="180"/>
      <c r="GG92" s="180"/>
      <c r="GH92" s="180"/>
      <c r="GI92" s="180"/>
      <c r="GJ92" s="180"/>
      <c r="GK92" s="180"/>
      <c r="GL92" s="180"/>
      <c r="GM92" s="180"/>
      <c r="GN92" s="180"/>
      <c r="GO92" s="180"/>
      <c r="GP92" s="180"/>
      <c r="GQ92" s="180"/>
      <c r="GR92" s="180"/>
      <c r="GS92" s="180"/>
      <c r="GT92" s="180"/>
      <c r="GU92" s="180"/>
      <c r="GV92" s="180"/>
      <c r="GW92" s="180"/>
      <c r="GX92" s="180"/>
      <c r="GY92" s="180"/>
      <c r="GZ92" s="180"/>
      <c r="HA92" s="180"/>
      <c r="HB92" s="180"/>
      <c r="HC92" s="180"/>
      <c r="HD92" s="180"/>
      <c r="HE92" s="180"/>
      <c r="HF92" s="180"/>
      <c r="HG92" s="180"/>
      <c r="HH92" s="180"/>
      <c r="HI92" s="180"/>
      <c r="HJ92" s="180"/>
      <c r="HK92" s="180"/>
      <c r="HL92" s="180"/>
      <c r="HM92" s="180"/>
      <c r="HN92" s="180"/>
      <c r="HO92" s="180"/>
      <c r="HP92" s="180"/>
      <c r="HQ92" s="180"/>
      <c r="HR92" s="180"/>
      <c r="HS92" s="180"/>
      <c r="HT92" s="180"/>
      <c r="HU92" s="180"/>
      <c r="HV92" s="180"/>
      <c r="HW92" s="180"/>
      <c r="HX92" s="180"/>
      <c r="HY92" s="180"/>
      <c r="HZ92" s="180"/>
      <c r="IA92" s="180"/>
      <c r="IB92" s="180"/>
      <c r="IC92" s="180"/>
      <c r="ID92" s="180"/>
      <c r="IE92" s="180"/>
      <c r="IF92" s="180"/>
      <c r="IG92" s="180"/>
      <c r="IH92" s="180"/>
      <c r="II92" s="180"/>
      <c r="IJ92" s="180"/>
      <c r="IK92" s="180"/>
      <c r="IL92" s="180"/>
      <c r="IM92" s="180"/>
      <c r="IN92" s="180"/>
      <c r="IO92" s="180"/>
      <c r="IP92" s="180"/>
      <c r="IQ92" s="180"/>
      <c r="IR92" s="180"/>
      <c r="IS92" s="180"/>
      <c r="IT92" s="180"/>
      <c r="IU92" s="180"/>
      <c r="IV92" s="180"/>
      <c r="IW92" s="180"/>
      <c r="IX92" s="180"/>
      <c r="IY92" s="180"/>
      <c r="IZ92" s="180"/>
      <c r="JA92" s="180"/>
      <c r="JB92" s="180"/>
      <c r="JC92" s="180"/>
      <c r="JD92" s="180"/>
      <c r="JE92" s="180"/>
      <c r="JF92" s="180"/>
      <c r="JG92" s="180"/>
      <c r="JH92" s="180"/>
      <c r="JI92" s="180"/>
      <c r="JJ92" s="180"/>
      <c r="JK92" s="180"/>
      <c r="JL92" s="180"/>
      <c r="JM92" s="180"/>
      <c r="JN92" s="180"/>
      <c r="JO92" s="180"/>
      <c r="JP92" s="180"/>
      <c r="JQ92" s="180"/>
      <c r="JR92" s="180"/>
      <c r="JS92" s="180"/>
      <c r="JT92" s="180"/>
    </row>
    <row r="93" spans="1:280" ht="20.100000000000001" customHeight="1" x14ac:dyDescent="0.25">
      <c r="A93" s="100" t="s">
        <v>18</v>
      </c>
      <c r="B93" s="63"/>
      <c r="C93" s="193"/>
      <c r="D93" s="146" t="str">
        <f t="shared" si="1"/>
        <v>12h55min</v>
      </c>
      <c r="E93" s="39">
        <v>155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90"/>
    </row>
    <row r="94" spans="1:280" ht="20.100000000000001" customHeight="1" x14ac:dyDescent="0.25">
      <c r="A94" s="100" t="s">
        <v>19</v>
      </c>
      <c r="B94" s="63"/>
      <c r="C94" s="195"/>
      <c r="D94" s="147" t="str">
        <f t="shared" si="1"/>
        <v>5h</v>
      </c>
      <c r="E94" s="27">
        <v>60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179"/>
      <c r="GE94" s="180"/>
      <c r="GF94" s="180"/>
      <c r="GG94" s="180"/>
      <c r="GH94" s="180"/>
      <c r="GI94" s="180"/>
      <c r="GJ94" s="180"/>
      <c r="GK94" s="180"/>
      <c r="GL94" s="180"/>
      <c r="GM94" s="180"/>
      <c r="GN94" s="180"/>
      <c r="GO94" s="180"/>
      <c r="GP94" s="180"/>
      <c r="GQ94" s="180"/>
      <c r="GR94" s="180"/>
      <c r="GS94" s="180"/>
      <c r="GT94" s="180"/>
      <c r="GU94" s="180"/>
      <c r="GV94" s="180"/>
      <c r="GW94" s="180"/>
      <c r="GX94" s="180"/>
      <c r="GY94" s="180"/>
      <c r="GZ94" s="180"/>
      <c r="HA94" s="180"/>
      <c r="HB94" s="180"/>
      <c r="HC94" s="180"/>
      <c r="HD94" s="180"/>
      <c r="HE94" s="180"/>
      <c r="HF94" s="180"/>
      <c r="HG94" s="180"/>
      <c r="HH94" s="180"/>
      <c r="HI94" s="180"/>
      <c r="HJ94" s="180"/>
      <c r="HK94" s="180"/>
      <c r="HL94" s="180"/>
      <c r="HM94" s="180"/>
      <c r="HN94" s="180"/>
      <c r="HO94" s="180"/>
      <c r="HP94" s="180"/>
      <c r="HQ94" s="180"/>
      <c r="HR94" s="180"/>
      <c r="HS94" s="180"/>
      <c r="HT94" s="180"/>
      <c r="HU94" s="180"/>
      <c r="HV94" s="180"/>
      <c r="HW94" s="180"/>
      <c r="HX94" s="180"/>
      <c r="HY94" s="180"/>
      <c r="HZ94" s="180"/>
      <c r="IA94" s="180"/>
      <c r="IB94" s="180"/>
      <c r="IC94" s="180"/>
      <c r="ID94" s="180"/>
      <c r="IE94" s="180"/>
      <c r="IF94" s="180"/>
      <c r="IG94" s="180"/>
      <c r="IH94" s="180"/>
      <c r="II94" s="180"/>
      <c r="IJ94" s="180"/>
      <c r="IK94" s="180"/>
      <c r="IL94" s="180"/>
      <c r="IM94" s="180"/>
      <c r="IN94" s="180"/>
      <c r="IO94" s="180"/>
      <c r="IP94" s="180"/>
      <c r="IQ94" s="180"/>
      <c r="IR94" s="180"/>
      <c r="IS94" s="180"/>
      <c r="IT94" s="180"/>
      <c r="IU94" s="180"/>
      <c r="IV94" s="180"/>
      <c r="IW94" s="180"/>
      <c r="IX94" s="180"/>
      <c r="IY94" s="180"/>
      <c r="IZ94" s="180"/>
      <c r="JA94" s="180"/>
      <c r="JB94" s="180"/>
      <c r="JC94" s="180"/>
      <c r="JD94" s="180"/>
      <c r="JE94" s="180"/>
      <c r="JF94" s="180"/>
      <c r="JG94" s="180"/>
      <c r="JH94" s="180"/>
      <c r="JI94" s="180"/>
      <c r="JJ94" s="180"/>
      <c r="JK94" s="180"/>
      <c r="JL94" s="180"/>
      <c r="JM94" s="180"/>
      <c r="JN94" s="180"/>
      <c r="JO94" s="180"/>
      <c r="JP94" s="180"/>
      <c r="JQ94" s="180"/>
      <c r="JR94" s="180"/>
      <c r="JS94" s="180"/>
      <c r="JT94" s="180"/>
    </row>
    <row r="95" spans="1:280" ht="20.100000000000001" customHeight="1" x14ac:dyDescent="0.25">
      <c r="B95" s="96"/>
      <c r="C95" s="189" t="s">
        <v>9</v>
      </c>
      <c r="D95" s="190"/>
      <c r="E95" s="117">
        <f>SUM(E15,E17,E19,E21,E23,E25,E27,E29,E31,E33,E35,E37,E39,E41,E43,E45,E47,E49,E51,E53,E55,E57,E59,E61,E63,E65,E67,E69,E71,E73,E75,E77,E79,E81,E83,E85,E87,E89,E91,E93)</f>
        <v>6200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90"/>
    </row>
    <row r="96" spans="1:280" ht="20.100000000000001" customHeight="1" thickBot="1" x14ac:dyDescent="0.3">
      <c r="B96" s="96"/>
      <c r="C96" s="191"/>
      <c r="D96" s="192"/>
      <c r="E96" s="123" t="str">
        <f xml:space="preserve"> setValueToTime(E95)</f>
        <v>516h40min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90"/>
    </row>
    <row r="97" spans="2:186" ht="20.100000000000001" customHeight="1" x14ac:dyDescent="0.25">
      <c r="B97" s="96"/>
      <c r="C97" s="196" t="s">
        <v>10</v>
      </c>
      <c r="D97" s="197"/>
      <c r="E97" s="118">
        <f>SUM(E16,E18,E20,E22,E24,E26,E28,E30,E32,E34,E36,E38,E40,E42,E44,E46,E48,E50,E52,E54,E56,E58,E60,E62,E64,E66,E68,E70,E72,E74,E76,E78,E80,E82,E84,E86,E88,E90,E92,E94)</f>
        <v>2579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24"/>
    </row>
    <row r="98" spans="2:186" ht="20.100000000000001" customHeight="1" thickBot="1" x14ac:dyDescent="0.3">
      <c r="B98" s="96"/>
      <c r="C98" s="198"/>
      <c r="D98" s="199"/>
      <c r="E98" s="122" t="str">
        <f xml:space="preserve"> setValueToTime(E97)</f>
        <v>214h55min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90"/>
    </row>
    <row r="99" spans="2:18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91"/>
    </row>
  </sheetData>
  <sheetProtection insertRows="0" insertHyperlinks="0" selectLockedCells="1"/>
  <mergeCells count="89">
    <mergeCell ref="C11:E12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13:C14"/>
    <mergeCell ref="E13:E14"/>
    <mergeCell ref="C29:C30"/>
    <mergeCell ref="C19:C20"/>
    <mergeCell ref="C21:C22"/>
    <mergeCell ref="C15:C16"/>
    <mergeCell ref="C43:C44"/>
    <mergeCell ref="C23:C24"/>
    <mergeCell ref="C25:C26"/>
    <mergeCell ref="C39:C40"/>
    <mergeCell ref="C41:C42"/>
    <mergeCell ref="C27:C28"/>
    <mergeCell ref="C55:C56"/>
    <mergeCell ref="C57:C58"/>
    <mergeCell ref="C59:C60"/>
    <mergeCell ref="C61:C62"/>
    <mergeCell ref="C83:C84"/>
    <mergeCell ref="C81:C82"/>
    <mergeCell ref="C79:C80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G9:U9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F13:BM13"/>
    <mergeCell ref="J14:M14"/>
    <mergeCell ref="P14:S14"/>
    <mergeCell ref="C95:D96"/>
    <mergeCell ref="BN13:DU13"/>
    <mergeCell ref="DH14:DK14"/>
    <mergeCell ref="DN14:DQ14"/>
    <mergeCell ref="C89:C90"/>
    <mergeCell ref="C37:C38"/>
    <mergeCell ref="C45:C46"/>
    <mergeCell ref="C31:C32"/>
    <mergeCell ref="C33:C34"/>
    <mergeCell ref="C35:C36"/>
    <mergeCell ref="C85:C86"/>
    <mergeCell ref="C87:C88"/>
    <mergeCell ref="C53:C5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E1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E1" sqref="E1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28.42578125" style="125" customWidth="1"/>
    <col min="6" max="6" width="17.140625" style="61" customWidth="1"/>
    <col min="7" max="16384" width="11.42578125" style="61"/>
  </cols>
  <sheetData>
    <row r="1" spans="4:4" ht="49.5" customHeight="1" x14ac:dyDescent="0.3">
      <c r="D1" s="62"/>
    </row>
  </sheetData>
  <sheetProtection formatRows="0" insertRows="0" insertHyperlinks="0" deleteRows="0" selectLockedCells="1"/>
  <phoneticPr fontId="0" type="noConversion"/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6" name="btnAjoutSeqPlanning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pageSetUpPr fitToPage="1"/>
  </sheetPr>
  <dimension ref="A1:G97"/>
  <sheetViews>
    <sheetView showGridLines="0" tabSelected="1" zoomScaleNormal="100" zoomScaleSheetLayoutView="98" workbookViewId="0">
      <pane ySplit="1" topLeftCell="A2" activePane="bottomLeft" state="frozen"/>
      <selection pane="bottomLeft" activeCell="C5" sqref="C5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4.8554687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6" t="s">
        <v>12</v>
      </c>
      <c r="B2" s="164">
        <v>8</v>
      </c>
      <c r="C2" s="164"/>
      <c r="D2" s="157" t="s">
        <v>15</v>
      </c>
      <c r="E2" s="158">
        <v>45302</v>
      </c>
      <c r="F2" s="159"/>
      <c r="G2" s="46"/>
    </row>
    <row r="3" spans="1:7" s="47" customFormat="1" ht="30" customHeight="1" thickBot="1" x14ac:dyDescent="0.3">
      <c r="A3" s="78" t="s">
        <v>5</v>
      </c>
      <c r="B3" s="161" t="s">
        <v>38</v>
      </c>
      <c r="C3" s="160"/>
      <c r="D3" s="78" t="s">
        <v>13</v>
      </c>
      <c r="E3" s="222" t="s">
        <v>14</v>
      </c>
      <c r="F3" s="223"/>
      <c r="G3" s="46"/>
    </row>
    <row r="4" spans="1:7" s="52" customFormat="1" ht="27" x14ac:dyDescent="0.3">
      <c r="A4" s="48" t="s">
        <v>66</v>
      </c>
      <c r="B4" s="49">
        <v>5</v>
      </c>
      <c r="C4" s="152" t="str">
        <f xml:space="preserve"> IF(B4="","",setValueToTime(B4))</f>
        <v>0h25min</v>
      </c>
      <c r="D4" s="50"/>
      <c r="E4" s="224"/>
      <c r="F4" s="225"/>
      <c r="G4" s="51"/>
    </row>
    <row r="5" spans="1:7" s="52" customFormat="1" ht="40.5" x14ac:dyDescent="0.3">
      <c r="A5" s="53" t="s">
        <v>67</v>
      </c>
      <c r="B5" s="54"/>
      <c r="C5" s="153" t="str">
        <f t="shared" ref="C5:C11" si="0" xml:space="preserve"> IF(B5="","",setValueToTime(B5))</f>
        <v/>
      </c>
      <c r="D5" s="55"/>
      <c r="E5" s="216"/>
      <c r="F5" s="217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16"/>
      <c r="F6" s="217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16"/>
      <c r="F7" s="217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16"/>
      <c r="F8" s="217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16"/>
      <c r="F9" s="217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16"/>
      <c r="F10" s="217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18"/>
      <c r="F11" s="219"/>
      <c r="G11" s="51"/>
    </row>
    <row r="12" spans="1:7" s="52" customFormat="1" ht="15" thickBot="1" x14ac:dyDescent="0.35">
      <c r="A12" s="162" t="s">
        <v>27</v>
      </c>
      <c r="B12" s="83">
        <f>SUM(B4:B11)</f>
        <v>5</v>
      </c>
      <c r="C12" s="162" t="str">
        <f xml:space="preserve"> setValueToTime(B12)</f>
        <v>0h25min</v>
      </c>
      <c r="D12" s="121"/>
      <c r="E12" s="220"/>
      <c r="F12" s="221"/>
      <c r="G12" s="51"/>
    </row>
    <row r="13" spans="1:7" s="59" customFormat="1" ht="15" thickBot="1" x14ac:dyDescent="0.35">
      <c r="A13" s="77"/>
      <c r="B13" s="77"/>
      <c r="C13" s="77"/>
      <c r="D13" s="77"/>
      <c r="E13" s="77"/>
      <c r="F13" s="77"/>
      <c r="G13" s="58"/>
    </row>
    <row r="14" spans="1:7" s="47" customFormat="1" ht="30" customHeight="1" thickBot="1" x14ac:dyDescent="0.3">
      <c r="A14" s="156" t="s">
        <v>12</v>
      </c>
      <c r="B14" s="164">
        <v>7</v>
      </c>
      <c r="C14" s="164"/>
      <c r="D14" s="157" t="s">
        <v>15</v>
      </c>
      <c r="E14" s="158">
        <v>45281</v>
      </c>
      <c r="F14" s="159"/>
      <c r="G14" s="46"/>
    </row>
    <row r="15" spans="1:7" s="47" customFormat="1" ht="30" customHeight="1" thickBot="1" x14ac:dyDescent="0.3">
      <c r="A15" s="78" t="s">
        <v>5</v>
      </c>
      <c r="B15" s="161" t="s">
        <v>38</v>
      </c>
      <c r="C15" s="160"/>
      <c r="D15" s="78" t="s">
        <v>13</v>
      </c>
      <c r="E15" s="222" t="s">
        <v>14</v>
      </c>
      <c r="F15" s="223"/>
      <c r="G15" s="46"/>
    </row>
    <row r="16" spans="1:7" s="52" customFormat="1" ht="27" x14ac:dyDescent="0.3">
      <c r="A16" s="48" t="s">
        <v>63</v>
      </c>
      <c r="B16" s="49">
        <v>5</v>
      </c>
      <c r="C16" s="152" t="str">
        <f xml:space="preserve"> IF(B16="","",setValueToTime(B16))</f>
        <v>0h25min</v>
      </c>
      <c r="D16" s="50"/>
      <c r="E16" s="224"/>
      <c r="F16" s="225"/>
      <c r="G16" s="51"/>
    </row>
    <row r="17" spans="1:7" s="52" customFormat="1" ht="27" x14ac:dyDescent="0.3">
      <c r="A17" s="53" t="s">
        <v>64</v>
      </c>
      <c r="B17" s="54">
        <v>14</v>
      </c>
      <c r="C17" s="153" t="str">
        <f t="shared" ref="C17:C23" si="1" xml:space="preserve"> IF(B17="","",setValueToTime(B17))</f>
        <v>1h10min</v>
      </c>
      <c r="D17" s="55"/>
      <c r="E17" s="216"/>
      <c r="F17" s="217"/>
      <c r="G17" s="51"/>
    </row>
    <row r="18" spans="1:7" s="52" customFormat="1" ht="54" x14ac:dyDescent="0.3">
      <c r="A18" s="53" t="s">
        <v>65</v>
      </c>
      <c r="B18" s="54">
        <v>17</v>
      </c>
      <c r="C18" s="153" t="str">
        <f t="shared" si="1"/>
        <v>1h25min</v>
      </c>
      <c r="D18" s="55"/>
      <c r="E18" s="216"/>
      <c r="F18" s="217"/>
      <c r="G18" s="51"/>
    </row>
    <row r="19" spans="1:7" s="52" customFormat="1" x14ac:dyDescent="0.3">
      <c r="A19" s="53"/>
      <c r="B19" s="54"/>
      <c r="C19" s="153" t="str">
        <f t="shared" si="1"/>
        <v/>
      </c>
      <c r="D19" s="55"/>
      <c r="E19" s="216"/>
      <c r="F19" s="217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216"/>
      <c r="F20" s="217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16"/>
      <c r="F21" s="217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16"/>
      <c r="F22" s="217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18"/>
      <c r="F23" s="219"/>
      <c r="G23" s="51"/>
    </row>
    <row r="24" spans="1:7" s="52" customFormat="1" ht="15" thickBot="1" x14ac:dyDescent="0.35">
      <c r="A24" s="162" t="s">
        <v>27</v>
      </c>
      <c r="B24" s="83">
        <f>SUM(B16:B23)</f>
        <v>36</v>
      </c>
      <c r="C24" s="162" t="str">
        <f xml:space="preserve"> setValueToTime(B24)</f>
        <v>3h</v>
      </c>
      <c r="D24" s="121"/>
      <c r="E24" s="220"/>
      <c r="F24" s="221"/>
      <c r="G24" s="51"/>
    </row>
    <row r="25" spans="1:7" s="59" customFormat="1" ht="15" thickBot="1" x14ac:dyDescent="0.35">
      <c r="A25" s="77"/>
      <c r="B25" s="77"/>
      <c r="C25" s="77"/>
      <c r="D25" s="77"/>
      <c r="E25" s="77"/>
      <c r="F25" s="77"/>
      <c r="G25" s="58"/>
    </row>
    <row r="26" spans="1:7" s="47" customFormat="1" ht="30" customHeight="1" thickBot="1" x14ac:dyDescent="0.3">
      <c r="A26" s="156" t="s">
        <v>12</v>
      </c>
      <c r="B26" s="164">
        <v>6</v>
      </c>
      <c r="C26" s="164"/>
      <c r="D26" s="157" t="s">
        <v>15</v>
      </c>
      <c r="E26" s="158">
        <v>45274</v>
      </c>
      <c r="F26" s="159"/>
      <c r="G26" s="46"/>
    </row>
    <row r="27" spans="1:7" s="47" customFormat="1" ht="30" customHeight="1" thickBot="1" x14ac:dyDescent="0.3">
      <c r="A27" s="78" t="s">
        <v>5</v>
      </c>
      <c r="B27" s="161" t="s">
        <v>38</v>
      </c>
      <c r="C27" s="160"/>
      <c r="D27" s="78" t="s">
        <v>13</v>
      </c>
      <c r="E27" s="222" t="s">
        <v>14</v>
      </c>
      <c r="F27" s="223"/>
      <c r="G27" s="46"/>
    </row>
    <row r="28" spans="1:7" s="52" customFormat="1" ht="40.5" x14ac:dyDescent="0.3">
      <c r="A28" s="48" t="s">
        <v>58</v>
      </c>
      <c r="B28" s="49">
        <v>27</v>
      </c>
      <c r="C28" s="152" t="str">
        <f xml:space="preserve"> IF(B28="","",setValueToTime(B28))</f>
        <v>2h15min</v>
      </c>
      <c r="D28" s="50"/>
      <c r="E28" s="224"/>
      <c r="F28" s="225"/>
      <c r="G28" s="51"/>
    </row>
    <row r="29" spans="1:7" s="52" customFormat="1" x14ac:dyDescent="0.3">
      <c r="A29" s="53" t="s">
        <v>59</v>
      </c>
      <c r="B29" s="54">
        <v>9</v>
      </c>
      <c r="C29" s="153" t="str">
        <f t="shared" ref="C29:C35" si="2" xml:space="preserve"> IF(B29="","",setValueToTime(B29))</f>
        <v>0h45min</v>
      </c>
      <c r="D29" s="55"/>
      <c r="E29" s="216"/>
      <c r="F29" s="217"/>
      <c r="G29" s="51"/>
    </row>
    <row r="30" spans="1:7" s="52" customFormat="1" x14ac:dyDescent="0.3">
      <c r="A30" s="53"/>
      <c r="B30" s="54"/>
      <c r="C30" s="153" t="str">
        <f t="shared" si="2"/>
        <v/>
      </c>
      <c r="D30" s="55"/>
      <c r="E30" s="216"/>
      <c r="F30" s="217"/>
      <c r="G30" s="51"/>
    </row>
    <row r="31" spans="1:7" s="52" customFormat="1" x14ac:dyDescent="0.3">
      <c r="A31" s="53"/>
      <c r="B31" s="54"/>
      <c r="C31" s="153" t="str">
        <f t="shared" si="2"/>
        <v/>
      </c>
      <c r="D31" s="55"/>
      <c r="E31" s="216"/>
      <c r="F31" s="217"/>
      <c r="G31" s="51"/>
    </row>
    <row r="32" spans="1:7" s="52" customFormat="1" x14ac:dyDescent="0.3">
      <c r="A32" s="54"/>
      <c r="B32" s="54"/>
      <c r="C32" s="154" t="str">
        <f t="shared" si="2"/>
        <v/>
      </c>
      <c r="D32" s="55"/>
      <c r="E32" s="216"/>
      <c r="F32" s="217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216"/>
      <c r="F33" s="217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216"/>
      <c r="F34" s="217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18"/>
      <c r="F35" s="219"/>
      <c r="G35" s="51"/>
    </row>
    <row r="36" spans="1:7" s="52" customFormat="1" ht="15" thickBot="1" x14ac:dyDescent="0.35">
      <c r="A36" s="162" t="s">
        <v>27</v>
      </c>
      <c r="B36" s="83">
        <f>SUM(B28:B35)</f>
        <v>36</v>
      </c>
      <c r="C36" s="162" t="str">
        <f xml:space="preserve"> setValueToTime(B36)</f>
        <v>3h</v>
      </c>
      <c r="D36" s="121"/>
      <c r="E36" s="220"/>
      <c r="F36" s="221"/>
      <c r="G36" s="51"/>
    </row>
    <row r="37" spans="1:7" s="59" customFormat="1" ht="15" thickBot="1" x14ac:dyDescent="0.35">
      <c r="A37" s="77"/>
      <c r="B37" s="77"/>
      <c r="C37" s="77"/>
      <c r="D37" s="77"/>
      <c r="E37" s="77"/>
      <c r="F37" s="77"/>
      <c r="G37" s="58"/>
    </row>
    <row r="38" spans="1:7" s="47" customFormat="1" ht="30" customHeight="1" thickBot="1" x14ac:dyDescent="0.3">
      <c r="A38" s="156" t="s">
        <v>12</v>
      </c>
      <c r="B38" s="164">
        <v>5</v>
      </c>
      <c r="C38" s="164"/>
      <c r="D38" s="157" t="s">
        <v>15</v>
      </c>
      <c r="E38" s="158">
        <v>45267</v>
      </c>
      <c r="F38" s="159"/>
      <c r="G38" s="46"/>
    </row>
    <row r="39" spans="1:7" s="47" customFormat="1" ht="30" customHeight="1" thickBot="1" x14ac:dyDescent="0.3">
      <c r="A39" s="78" t="s">
        <v>5</v>
      </c>
      <c r="B39" s="161" t="s">
        <v>38</v>
      </c>
      <c r="C39" s="160"/>
      <c r="D39" s="78" t="s">
        <v>13</v>
      </c>
      <c r="E39" s="222" t="s">
        <v>14</v>
      </c>
      <c r="F39" s="223"/>
      <c r="G39" s="46"/>
    </row>
    <row r="40" spans="1:7" s="52" customFormat="1" ht="40.5" x14ac:dyDescent="0.3">
      <c r="A40" s="48" t="s">
        <v>55</v>
      </c>
      <c r="B40" s="49">
        <v>18</v>
      </c>
      <c r="C40" s="152" t="str">
        <f xml:space="preserve"> IF(B40="","",setValueToTime(B40))</f>
        <v>1h30min</v>
      </c>
      <c r="D40" s="50"/>
      <c r="E40" s="224"/>
      <c r="F40" s="225"/>
      <c r="G40" s="51"/>
    </row>
    <row r="41" spans="1:7" s="52" customFormat="1" ht="27" x14ac:dyDescent="0.3">
      <c r="A41" s="53" t="s">
        <v>56</v>
      </c>
      <c r="B41" s="54">
        <v>6</v>
      </c>
      <c r="C41" s="153" t="str">
        <f t="shared" ref="C41:C47" si="3" xml:space="preserve"> IF(B41="","",setValueToTime(B41))</f>
        <v>0h30min</v>
      </c>
      <c r="D41" s="55"/>
      <c r="E41" s="216"/>
      <c r="F41" s="217"/>
      <c r="G41" s="51"/>
    </row>
    <row r="42" spans="1:7" s="52" customFormat="1" ht="40.5" x14ac:dyDescent="0.3">
      <c r="A42" s="53" t="s">
        <v>57</v>
      </c>
      <c r="B42" s="54">
        <v>12</v>
      </c>
      <c r="C42" s="153" t="str">
        <f t="shared" si="3"/>
        <v>1h</v>
      </c>
      <c r="D42" s="55"/>
      <c r="E42" s="216"/>
      <c r="F42" s="217"/>
      <c r="G42" s="51"/>
    </row>
    <row r="43" spans="1:7" s="52" customFormat="1" x14ac:dyDescent="0.3">
      <c r="A43" s="53"/>
      <c r="B43" s="54"/>
      <c r="C43" s="153" t="str">
        <f t="shared" si="3"/>
        <v/>
      </c>
      <c r="D43" s="55"/>
      <c r="E43" s="216"/>
      <c r="F43" s="217"/>
      <c r="G43" s="51"/>
    </row>
    <row r="44" spans="1:7" s="52" customFormat="1" x14ac:dyDescent="0.3">
      <c r="A44" s="54"/>
      <c r="B44" s="54"/>
      <c r="C44" s="154" t="str">
        <f t="shared" si="3"/>
        <v/>
      </c>
      <c r="D44" s="55"/>
      <c r="E44" s="216"/>
      <c r="F44" s="217"/>
      <c r="G44" s="51"/>
    </row>
    <row r="45" spans="1:7" s="52" customFormat="1" x14ac:dyDescent="0.3">
      <c r="A45" s="54"/>
      <c r="B45" s="54"/>
      <c r="C45" s="154" t="str">
        <f t="shared" si="3"/>
        <v/>
      </c>
      <c r="D45" s="55"/>
      <c r="E45" s="216"/>
      <c r="F45" s="217"/>
      <c r="G45" s="51"/>
    </row>
    <row r="46" spans="1:7" s="52" customFormat="1" x14ac:dyDescent="0.3">
      <c r="A46" s="54"/>
      <c r="B46" s="54"/>
      <c r="C46" s="154" t="str">
        <f t="shared" si="3"/>
        <v/>
      </c>
      <c r="D46" s="55"/>
      <c r="E46" s="216"/>
      <c r="F46" s="217"/>
      <c r="G46" s="51"/>
    </row>
    <row r="47" spans="1:7" s="52" customFormat="1" ht="15" thickBot="1" x14ac:dyDescent="0.35">
      <c r="A47" s="56"/>
      <c r="B47" s="56"/>
      <c r="C47" s="155" t="str">
        <f t="shared" si="3"/>
        <v/>
      </c>
      <c r="D47" s="57"/>
      <c r="E47" s="218"/>
      <c r="F47" s="219"/>
      <c r="G47" s="51"/>
    </row>
    <row r="48" spans="1:7" s="52" customFormat="1" ht="15" thickBot="1" x14ac:dyDescent="0.35">
      <c r="A48" s="162" t="s">
        <v>27</v>
      </c>
      <c r="B48" s="83">
        <f>SUM(B40:B47)</f>
        <v>36</v>
      </c>
      <c r="C48" s="162" t="str">
        <f xml:space="preserve"> setValueToTime(B48)</f>
        <v>3h</v>
      </c>
      <c r="D48" s="121"/>
      <c r="E48" s="220"/>
      <c r="F48" s="221"/>
      <c r="G48" s="51"/>
    </row>
    <row r="49" spans="1:7" s="59" customFormat="1" ht="15" thickBot="1" x14ac:dyDescent="0.35">
      <c r="A49" s="77"/>
      <c r="B49" s="77"/>
      <c r="C49" s="77"/>
      <c r="D49" s="77"/>
      <c r="E49" s="77"/>
      <c r="F49" s="77"/>
      <c r="G49" s="58"/>
    </row>
    <row r="50" spans="1:7" s="47" customFormat="1" ht="30" customHeight="1" thickBot="1" x14ac:dyDescent="0.3">
      <c r="A50" s="156" t="s">
        <v>12</v>
      </c>
      <c r="B50" s="164">
        <v>4</v>
      </c>
      <c r="C50" s="164"/>
      <c r="D50" s="157" t="s">
        <v>15</v>
      </c>
      <c r="E50" s="158">
        <v>45260</v>
      </c>
      <c r="F50" s="159"/>
      <c r="G50" s="46"/>
    </row>
    <row r="51" spans="1:7" s="47" customFormat="1" ht="30" customHeight="1" thickBot="1" x14ac:dyDescent="0.3">
      <c r="A51" s="78" t="s">
        <v>5</v>
      </c>
      <c r="B51" s="161" t="s">
        <v>38</v>
      </c>
      <c r="C51" s="160"/>
      <c r="D51" s="78" t="s">
        <v>13</v>
      </c>
      <c r="E51" s="222" t="s">
        <v>14</v>
      </c>
      <c r="F51" s="223"/>
      <c r="G51" s="46"/>
    </row>
    <row r="52" spans="1:7" s="52" customFormat="1" ht="27" x14ac:dyDescent="0.3">
      <c r="A52" s="48" t="s">
        <v>48</v>
      </c>
      <c r="B52" s="49">
        <v>18</v>
      </c>
      <c r="C52" s="152" t="str">
        <f xml:space="preserve"> IF(B52="","",setValueToTime(B52))</f>
        <v>1h30min</v>
      </c>
      <c r="D52" s="50" t="s">
        <v>52</v>
      </c>
      <c r="E52" s="224"/>
      <c r="F52" s="225"/>
      <c r="G52" s="51"/>
    </row>
    <row r="53" spans="1:7" s="52" customFormat="1" ht="27" x14ac:dyDescent="0.3">
      <c r="A53" s="53" t="s">
        <v>53</v>
      </c>
      <c r="B53" s="54">
        <v>18</v>
      </c>
      <c r="C53" s="153" t="str">
        <f t="shared" ref="C53:C59" si="4" xml:space="preserve"> IF(B53="","",setValueToTime(B53))</f>
        <v>1h30min</v>
      </c>
      <c r="D53" s="55" t="s">
        <v>54</v>
      </c>
      <c r="E53" s="216"/>
      <c r="F53" s="217"/>
      <c r="G53" s="51"/>
    </row>
    <row r="54" spans="1:7" s="52" customFormat="1" x14ac:dyDescent="0.3">
      <c r="A54" s="53"/>
      <c r="B54" s="54"/>
      <c r="C54" s="153" t="str">
        <f t="shared" si="4"/>
        <v/>
      </c>
      <c r="D54" s="55"/>
      <c r="E54" s="216"/>
      <c r="F54" s="217"/>
      <c r="G54" s="51"/>
    </row>
    <row r="55" spans="1:7" s="52" customFormat="1" x14ac:dyDescent="0.3">
      <c r="A55" s="53"/>
      <c r="B55" s="54"/>
      <c r="C55" s="153" t="str">
        <f t="shared" si="4"/>
        <v/>
      </c>
      <c r="D55" s="55"/>
      <c r="E55" s="216"/>
      <c r="F55" s="217"/>
      <c r="G55" s="51"/>
    </row>
    <row r="56" spans="1:7" s="52" customFormat="1" x14ac:dyDescent="0.3">
      <c r="A56" s="54"/>
      <c r="B56" s="54"/>
      <c r="C56" s="154" t="str">
        <f t="shared" si="4"/>
        <v/>
      </c>
      <c r="D56" s="55"/>
      <c r="E56" s="216"/>
      <c r="F56" s="217"/>
      <c r="G56" s="51"/>
    </row>
    <row r="57" spans="1:7" s="52" customFormat="1" x14ac:dyDescent="0.3">
      <c r="A57" s="54"/>
      <c r="B57" s="54"/>
      <c r="C57" s="154" t="str">
        <f t="shared" si="4"/>
        <v/>
      </c>
      <c r="D57" s="55"/>
      <c r="E57" s="216"/>
      <c r="F57" s="217"/>
      <c r="G57" s="51"/>
    </row>
    <row r="58" spans="1:7" s="52" customFormat="1" x14ac:dyDescent="0.3">
      <c r="A58" s="54"/>
      <c r="B58" s="54"/>
      <c r="C58" s="154" t="str">
        <f t="shared" si="4"/>
        <v/>
      </c>
      <c r="D58" s="55"/>
      <c r="E58" s="216"/>
      <c r="F58" s="217"/>
      <c r="G58" s="51"/>
    </row>
    <row r="59" spans="1:7" s="52" customFormat="1" ht="15" thickBot="1" x14ac:dyDescent="0.35">
      <c r="A59" s="56"/>
      <c r="B59" s="56"/>
      <c r="C59" s="155" t="str">
        <f t="shared" si="4"/>
        <v/>
      </c>
      <c r="D59" s="57"/>
      <c r="E59" s="218"/>
      <c r="F59" s="219"/>
      <c r="G59" s="51"/>
    </row>
    <row r="60" spans="1:7" s="52" customFormat="1" ht="15" thickBot="1" x14ac:dyDescent="0.35">
      <c r="A60" s="162" t="s">
        <v>27</v>
      </c>
      <c r="B60" s="83">
        <f>SUM(B52:B59)</f>
        <v>36</v>
      </c>
      <c r="C60" s="162" t="str">
        <f xml:space="preserve"> setValueToTime(B60)</f>
        <v>3h</v>
      </c>
      <c r="D60" s="121"/>
      <c r="E60" s="220"/>
      <c r="F60" s="221"/>
      <c r="G60" s="51"/>
    </row>
    <row r="61" spans="1:7" s="59" customFormat="1" ht="15" thickBot="1" x14ac:dyDescent="0.35">
      <c r="A61" s="77"/>
      <c r="B61" s="77"/>
      <c r="C61" s="77"/>
      <c r="D61" s="77"/>
      <c r="E61" s="77"/>
      <c r="F61" s="77"/>
      <c r="G61" s="58"/>
    </row>
    <row r="62" spans="1:7" s="47" customFormat="1" ht="30" customHeight="1" thickBot="1" x14ac:dyDescent="0.3">
      <c r="A62" s="156" t="s">
        <v>12</v>
      </c>
      <c r="B62" s="164">
        <v>3</v>
      </c>
      <c r="C62" s="164"/>
      <c r="D62" s="157" t="s">
        <v>15</v>
      </c>
      <c r="E62" s="158">
        <v>45253</v>
      </c>
      <c r="F62" s="159"/>
      <c r="G62" s="46"/>
    </row>
    <row r="63" spans="1:7" s="47" customFormat="1" ht="30" customHeight="1" thickBot="1" x14ac:dyDescent="0.3">
      <c r="A63" s="78" t="s">
        <v>5</v>
      </c>
      <c r="B63" s="161" t="s">
        <v>38</v>
      </c>
      <c r="C63" s="160"/>
      <c r="D63" s="78" t="s">
        <v>13</v>
      </c>
      <c r="E63" s="222" t="s">
        <v>14</v>
      </c>
      <c r="F63" s="223"/>
      <c r="G63" s="46"/>
    </row>
    <row r="64" spans="1:7" s="52" customFormat="1" ht="27" x14ac:dyDescent="0.3">
      <c r="A64" s="48" t="s">
        <v>48</v>
      </c>
      <c r="B64" s="49">
        <v>18</v>
      </c>
      <c r="C64" s="152" t="str">
        <f xml:space="preserve"> IF(B64="","",setValueToTime(B64))</f>
        <v>1h30min</v>
      </c>
      <c r="D64" s="50" t="s">
        <v>51</v>
      </c>
      <c r="E64" s="224"/>
      <c r="F64" s="225"/>
      <c r="G64" s="51"/>
    </row>
    <row r="65" spans="1:7" s="52" customFormat="1" ht="27" x14ac:dyDescent="0.3">
      <c r="A65" s="53" t="s">
        <v>49</v>
      </c>
      <c r="B65" s="54">
        <v>18</v>
      </c>
      <c r="C65" s="153" t="str">
        <f t="shared" ref="C65:C71" si="5" xml:space="preserve"> IF(B65="","",setValueToTime(B65))</f>
        <v>1h30min</v>
      </c>
      <c r="D65" s="55" t="s">
        <v>50</v>
      </c>
      <c r="E65" s="216"/>
      <c r="F65" s="217"/>
      <c r="G65" s="51"/>
    </row>
    <row r="66" spans="1:7" s="52" customFormat="1" x14ac:dyDescent="0.3">
      <c r="A66" s="53"/>
      <c r="B66" s="54"/>
      <c r="C66" s="153" t="str">
        <f t="shared" si="5"/>
        <v/>
      </c>
      <c r="D66" s="55"/>
      <c r="E66" s="216"/>
      <c r="F66" s="217"/>
      <c r="G66" s="51"/>
    </row>
    <row r="67" spans="1:7" s="52" customFormat="1" x14ac:dyDescent="0.3">
      <c r="A67" s="53"/>
      <c r="B67" s="54"/>
      <c r="C67" s="153" t="str">
        <f t="shared" si="5"/>
        <v/>
      </c>
      <c r="D67" s="55"/>
      <c r="E67" s="216"/>
      <c r="F67" s="217"/>
      <c r="G67" s="51"/>
    </row>
    <row r="68" spans="1:7" s="52" customFormat="1" x14ac:dyDescent="0.3">
      <c r="A68" s="54"/>
      <c r="B68" s="54"/>
      <c r="C68" s="154" t="str">
        <f t="shared" si="5"/>
        <v/>
      </c>
      <c r="D68" s="55"/>
      <c r="E68" s="216"/>
      <c r="F68" s="217"/>
      <c r="G68" s="51"/>
    </row>
    <row r="69" spans="1:7" s="52" customFormat="1" x14ac:dyDescent="0.3">
      <c r="A69" s="54"/>
      <c r="B69" s="54"/>
      <c r="C69" s="154" t="str">
        <f t="shared" si="5"/>
        <v/>
      </c>
      <c r="D69" s="55"/>
      <c r="E69" s="216"/>
      <c r="F69" s="217"/>
      <c r="G69" s="51"/>
    </row>
    <row r="70" spans="1:7" s="52" customFormat="1" x14ac:dyDescent="0.3">
      <c r="A70" s="54"/>
      <c r="B70" s="54"/>
      <c r="C70" s="154" t="str">
        <f t="shared" si="5"/>
        <v/>
      </c>
      <c r="D70" s="55"/>
      <c r="E70" s="216"/>
      <c r="F70" s="217"/>
      <c r="G70" s="51"/>
    </row>
    <row r="71" spans="1:7" s="52" customFormat="1" ht="15" thickBot="1" x14ac:dyDescent="0.35">
      <c r="A71" s="56"/>
      <c r="B71" s="56"/>
      <c r="C71" s="155" t="str">
        <f t="shared" si="5"/>
        <v/>
      </c>
      <c r="D71" s="57"/>
      <c r="E71" s="218"/>
      <c r="F71" s="219"/>
      <c r="G71" s="51"/>
    </row>
    <row r="72" spans="1:7" s="52" customFormat="1" ht="15" thickBot="1" x14ac:dyDescent="0.35">
      <c r="A72" s="162" t="s">
        <v>27</v>
      </c>
      <c r="B72" s="83">
        <f>SUM(B64:B71)</f>
        <v>36</v>
      </c>
      <c r="C72" s="162" t="str">
        <f xml:space="preserve"> setValueToTime(B72)</f>
        <v>3h</v>
      </c>
      <c r="D72" s="121"/>
      <c r="E72" s="220"/>
      <c r="F72" s="221"/>
      <c r="G72" s="51"/>
    </row>
    <row r="73" spans="1:7" s="59" customFormat="1" ht="15" thickBot="1" x14ac:dyDescent="0.35">
      <c r="A73" s="77"/>
      <c r="B73" s="77"/>
      <c r="C73" s="77"/>
      <c r="D73" s="77"/>
      <c r="E73" s="77"/>
      <c r="F73" s="77"/>
      <c r="G73" s="58"/>
    </row>
    <row r="74" spans="1:7" s="47" customFormat="1" ht="30" customHeight="1" thickBot="1" x14ac:dyDescent="0.3">
      <c r="A74" s="156" t="s">
        <v>12</v>
      </c>
      <c r="B74" s="164">
        <v>2</v>
      </c>
      <c r="C74" s="164"/>
      <c r="D74" s="157" t="s">
        <v>15</v>
      </c>
      <c r="E74" s="158">
        <v>45246</v>
      </c>
      <c r="F74" s="159"/>
      <c r="G74" s="46"/>
    </row>
    <row r="75" spans="1:7" s="47" customFormat="1" ht="30" customHeight="1" thickBot="1" x14ac:dyDescent="0.3">
      <c r="A75" s="78" t="s">
        <v>5</v>
      </c>
      <c r="B75" s="161" t="s">
        <v>38</v>
      </c>
      <c r="C75" s="160"/>
      <c r="D75" s="78" t="s">
        <v>13</v>
      </c>
      <c r="E75" s="222" t="s">
        <v>14</v>
      </c>
      <c r="F75" s="223"/>
      <c r="G75" s="46"/>
    </row>
    <row r="76" spans="1:7" s="52" customFormat="1" ht="40.5" x14ac:dyDescent="0.3">
      <c r="A76" s="48" t="s">
        <v>47</v>
      </c>
      <c r="B76" s="49">
        <v>36</v>
      </c>
      <c r="C76" s="152" t="str">
        <f xml:space="preserve"> IF(B76="","",setValueToTime(B76))</f>
        <v>3h</v>
      </c>
      <c r="D76" s="50"/>
      <c r="E76" s="224"/>
      <c r="F76" s="225"/>
      <c r="G76" s="51"/>
    </row>
    <row r="77" spans="1:7" s="52" customFormat="1" x14ac:dyDescent="0.3">
      <c r="A77" s="53"/>
      <c r="B77" s="54"/>
      <c r="C77" s="153" t="str">
        <f t="shared" ref="C77:C83" si="6" xml:space="preserve"> IF(B77="","",setValueToTime(B77))</f>
        <v/>
      </c>
      <c r="D77" s="55"/>
      <c r="E77" s="216"/>
      <c r="F77" s="217"/>
      <c r="G77" s="51"/>
    </row>
    <row r="78" spans="1:7" s="52" customFormat="1" x14ac:dyDescent="0.3">
      <c r="A78" s="53"/>
      <c r="B78" s="54"/>
      <c r="C78" s="153" t="str">
        <f t="shared" si="6"/>
        <v/>
      </c>
      <c r="D78" s="55"/>
      <c r="E78" s="216"/>
      <c r="F78" s="217"/>
      <c r="G78" s="51"/>
    </row>
    <row r="79" spans="1:7" s="52" customFormat="1" x14ac:dyDescent="0.3">
      <c r="A79" s="53"/>
      <c r="B79" s="54"/>
      <c r="C79" s="153" t="str">
        <f t="shared" si="6"/>
        <v/>
      </c>
      <c r="D79" s="55"/>
      <c r="E79" s="216"/>
      <c r="F79" s="217"/>
      <c r="G79" s="51"/>
    </row>
    <row r="80" spans="1:7" s="52" customFormat="1" x14ac:dyDescent="0.3">
      <c r="A80" s="54"/>
      <c r="B80" s="54"/>
      <c r="C80" s="154" t="str">
        <f t="shared" si="6"/>
        <v/>
      </c>
      <c r="D80" s="55"/>
      <c r="E80" s="216"/>
      <c r="F80" s="217"/>
      <c r="G80" s="51"/>
    </row>
    <row r="81" spans="1:7" s="52" customFormat="1" x14ac:dyDescent="0.3">
      <c r="A81" s="54"/>
      <c r="B81" s="54"/>
      <c r="C81" s="154" t="str">
        <f t="shared" si="6"/>
        <v/>
      </c>
      <c r="D81" s="55"/>
      <c r="E81" s="216"/>
      <c r="F81" s="217"/>
      <c r="G81" s="51"/>
    </row>
    <row r="82" spans="1:7" s="52" customFormat="1" x14ac:dyDescent="0.3">
      <c r="A82" s="54"/>
      <c r="B82" s="54"/>
      <c r="C82" s="154" t="str">
        <f t="shared" si="6"/>
        <v/>
      </c>
      <c r="D82" s="55"/>
      <c r="E82" s="216"/>
      <c r="F82" s="217"/>
      <c r="G82" s="51"/>
    </row>
    <row r="83" spans="1:7" s="52" customFormat="1" ht="15" thickBot="1" x14ac:dyDescent="0.35">
      <c r="A83" s="56"/>
      <c r="B83" s="56"/>
      <c r="C83" s="155" t="str">
        <f t="shared" si="6"/>
        <v/>
      </c>
      <c r="D83" s="57"/>
      <c r="E83" s="218"/>
      <c r="F83" s="219"/>
      <c r="G83" s="51"/>
    </row>
    <row r="84" spans="1:7" s="52" customFormat="1" ht="15" thickBot="1" x14ac:dyDescent="0.35">
      <c r="A84" s="162" t="s">
        <v>27</v>
      </c>
      <c r="B84" s="83">
        <f>SUM(B76:B83)</f>
        <v>36</v>
      </c>
      <c r="C84" s="162" t="str">
        <f xml:space="preserve"> setValueToTime(B84)</f>
        <v>3h</v>
      </c>
      <c r="D84" s="121"/>
      <c r="E84" s="220"/>
      <c r="F84" s="221"/>
      <c r="G84" s="51"/>
    </row>
    <row r="85" spans="1:7" s="59" customFormat="1" ht="15" thickBot="1" x14ac:dyDescent="0.35">
      <c r="A85" s="77"/>
      <c r="B85" s="77"/>
      <c r="C85" s="77"/>
      <c r="D85" s="77"/>
      <c r="E85" s="77"/>
      <c r="F85" s="77"/>
      <c r="G85" s="58"/>
    </row>
    <row r="86" spans="1:7" s="47" customFormat="1" ht="30" customHeight="1" thickBot="1" x14ac:dyDescent="0.3">
      <c r="A86" s="156" t="s">
        <v>12</v>
      </c>
      <c r="B86" s="164">
        <v>1</v>
      </c>
      <c r="C86" s="164"/>
      <c r="D86" s="157" t="s">
        <v>15</v>
      </c>
      <c r="E86" s="158">
        <v>45239</v>
      </c>
      <c r="F86" s="159"/>
      <c r="G86" s="46"/>
    </row>
    <row r="87" spans="1:7" s="47" customFormat="1" ht="30" customHeight="1" thickBot="1" x14ac:dyDescent="0.3">
      <c r="A87" s="78" t="s">
        <v>5</v>
      </c>
      <c r="B87" s="161" t="s">
        <v>38</v>
      </c>
      <c r="C87" s="160"/>
      <c r="D87" s="78" t="s">
        <v>13</v>
      </c>
      <c r="E87" s="222" t="s">
        <v>14</v>
      </c>
      <c r="F87" s="223"/>
      <c r="G87" s="46"/>
    </row>
    <row r="88" spans="1:7" s="52" customFormat="1" ht="27" x14ac:dyDescent="0.3">
      <c r="A88" s="48" t="s">
        <v>45</v>
      </c>
      <c r="B88" s="49">
        <v>36</v>
      </c>
      <c r="C88" s="152" t="str">
        <f xml:space="preserve"> IF(B88="","",setValueToTime(B88))</f>
        <v>3h</v>
      </c>
      <c r="D88" s="50" t="s">
        <v>46</v>
      </c>
      <c r="E88" s="224"/>
      <c r="F88" s="225"/>
      <c r="G88" s="51"/>
    </row>
    <row r="89" spans="1:7" s="52" customFormat="1" x14ac:dyDescent="0.3">
      <c r="A89" s="53"/>
      <c r="B89" s="54"/>
      <c r="C89" s="153" t="str">
        <f t="shared" ref="C89:C95" si="7" xml:space="preserve"> IF(B89="","",setValueToTime(B89))</f>
        <v/>
      </c>
      <c r="D89" s="55"/>
      <c r="E89" s="216"/>
      <c r="F89" s="217"/>
      <c r="G89" s="51"/>
    </row>
    <row r="90" spans="1:7" s="52" customFormat="1" x14ac:dyDescent="0.3">
      <c r="A90" s="53"/>
      <c r="B90" s="54"/>
      <c r="C90" s="153" t="str">
        <f t="shared" si="7"/>
        <v/>
      </c>
      <c r="D90" s="55"/>
      <c r="E90" s="216"/>
      <c r="F90" s="217"/>
      <c r="G90" s="51"/>
    </row>
    <row r="91" spans="1:7" s="52" customFormat="1" x14ac:dyDescent="0.3">
      <c r="A91" s="53"/>
      <c r="B91" s="54"/>
      <c r="C91" s="153" t="str">
        <f t="shared" si="7"/>
        <v/>
      </c>
      <c r="D91" s="55"/>
      <c r="E91" s="216"/>
      <c r="F91" s="217"/>
      <c r="G91" s="51"/>
    </row>
    <row r="92" spans="1:7" s="52" customFormat="1" x14ac:dyDescent="0.3">
      <c r="A92" s="54"/>
      <c r="B92" s="54"/>
      <c r="C92" s="154" t="str">
        <f t="shared" si="7"/>
        <v/>
      </c>
      <c r="D92" s="55"/>
      <c r="E92" s="216"/>
      <c r="F92" s="217"/>
      <c r="G92" s="51"/>
    </row>
    <row r="93" spans="1:7" s="52" customFormat="1" x14ac:dyDescent="0.3">
      <c r="A93" s="54"/>
      <c r="B93" s="54"/>
      <c r="C93" s="154" t="str">
        <f t="shared" si="7"/>
        <v/>
      </c>
      <c r="D93" s="55"/>
      <c r="E93" s="216"/>
      <c r="F93" s="217"/>
      <c r="G93" s="51"/>
    </row>
    <row r="94" spans="1:7" s="52" customFormat="1" x14ac:dyDescent="0.3">
      <c r="A94" s="54"/>
      <c r="B94" s="54"/>
      <c r="C94" s="154" t="str">
        <f t="shared" si="7"/>
        <v/>
      </c>
      <c r="D94" s="55"/>
      <c r="E94" s="216"/>
      <c r="F94" s="217"/>
      <c r="G94" s="51"/>
    </row>
    <row r="95" spans="1:7" s="52" customFormat="1" ht="15" thickBot="1" x14ac:dyDescent="0.35">
      <c r="A95" s="56"/>
      <c r="B95" s="56"/>
      <c r="C95" s="155" t="str">
        <f t="shared" si="7"/>
        <v/>
      </c>
      <c r="D95" s="57"/>
      <c r="E95" s="218"/>
      <c r="F95" s="219"/>
      <c r="G95" s="51"/>
    </row>
    <row r="96" spans="1:7" s="52" customFormat="1" ht="15" thickBot="1" x14ac:dyDescent="0.35">
      <c r="A96" s="162" t="s">
        <v>27</v>
      </c>
      <c r="B96" s="83">
        <f>SUM(B88:B95)</f>
        <v>36</v>
      </c>
      <c r="C96" s="162" t="str">
        <f xml:space="preserve"> setValueToTime(B96)</f>
        <v>3h</v>
      </c>
      <c r="D96" s="121"/>
      <c r="E96" s="220"/>
      <c r="F96" s="221"/>
      <c r="G96" s="51"/>
    </row>
    <row r="97" spans="1:7" s="59" customFormat="1" x14ac:dyDescent="0.3">
      <c r="A97" s="77"/>
      <c r="B97" s="77"/>
      <c r="C97" s="77"/>
      <c r="D97" s="77"/>
      <c r="E97" s="77"/>
      <c r="F97" s="77"/>
      <c r="G97" s="58"/>
    </row>
  </sheetData>
  <sheetProtection formatRows="0" insertRows="0" insertHyperlinks="0" deleteRows="0" selectLockedCells="1"/>
  <mergeCells count="80"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20:F20"/>
    <mergeCell ref="E21:F21"/>
    <mergeCell ref="E22:F22"/>
    <mergeCell ref="E23:F23"/>
    <mergeCell ref="E24:F24"/>
    <mergeCell ref="E15:F15"/>
    <mergeCell ref="E16:F16"/>
    <mergeCell ref="E17:F17"/>
    <mergeCell ref="E18:F18"/>
    <mergeCell ref="E19:F19"/>
    <mergeCell ref="E44:F44"/>
    <mergeCell ref="E45:F45"/>
    <mergeCell ref="E46:F46"/>
    <mergeCell ref="E47:F47"/>
    <mergeCell ref="E48:F48"/>
    <mergeCell ref="E39:F39"/>
    <mergeCell ref="E40:F40"/>
    <mergeCell ref="E41:F41"/>
    <mergeCell ref="E42:F42"/>
    <mergeCell ref="E43:F43"/>
    <mergeCell ref="E80:F80"/>
    <mergeCell ref="E81:F81"/>
    <mergeCell ref="E82:F82"/>
    <mergeCell ref="E83:F83"/>
    <mergeCell ref="E84:F84"/>
    <mergeCell ref="E75:F75"/>
    <mergeCell ref="E76:F76"/>
    <mergeCell ref="E77:F77"/>
    <mergeCell ref="E78:F78"/>
    <mergeCell ref="E79:F79"/>
    <mergeCell ref="E93:F93"/>
    <mergeCell ref="E94:F94"/>
    <mergeCell ref="E95:F95"/>
    <mergeCell ref="E96:F96"/>
    <mergeCell ref="E87:F87"/>
    <mergeCell ref="E88:F88"/>
    <mergeCell ref="E89:F89"/>
    <mergeCell ref="E90:F90"/>
    <mergeCell ref="E91:F91"/>
    <mergeCell ref="E92:F92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72:F72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60:F60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36:F36"/>
  </mergeCells>
  <phoneticPr fontId="0" type="noConversion"/>
  <conditionalFormatting sqref="B96">
    <cfRule type="cellIs" dxfId="9" priority="8" operator="greaterThan">
      <formula>60</formula>
    </cfRule>
  </conditionalFormatting>
  <conditionalFormatting sqref="B84">
    <cfRule type="cellIs" dxfId="8" priority="7" operator="greaterThan">
      <formula>60</formula>
    </cfRule>
  </conditionalFormatting>
  <conditionalFormatting sqref="B72">
    <cfRule type="cellIs" dxfId="7" priority="6" operator="greaterThan">
      <formula>60</formula>
    </cfRule>
  </conditionalFormatting>
  <conditionalFormatting sqref="B60">
    <cfRule type="cellIs" dxfId="6" priority="5" operator="greaterThan">
      <formula>60</formula>
    </cfRule>
  </conditionalFormatting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0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88:B95 B76:B83 B64:B71 B52:B59 B40:B47 B28:B35 B16:B23 B4:B11" xr:uid="{8542A798-0E97-47C1-AA9C-33C23CDF11E3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96 B84 B72 B60 B48 B36 B24 B12" xr:uid="{9F071C8B-47C1-4EEB-B68F-705664D1E4CE}">
      <formula1>0</formula1>
      <formula2>60</formula2>
    </dataValidation>
    <dataValidation type="list" allowBlank="1" showInputMessage="1" showErrorMessage="1" sqref="A88:A95 A76:A83 A64:A71 A52:A59 A40:A47 A28:A35 A16:A23 A4:A11" xr:uid="{CE9844F1-A322-4FBD-AB5F-9308B1D40F4B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4" r:id="rId4" name="btnRapatriementJournal">
          <controlPr defaultSize="0" autoLine="0" r:id="rId5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4" name="btnRapatriementJournal"/>
      </mc:Fallback>
    </mc:AlternateContent>
    <mc:AlternateContent xmlns:mc="http://schemas.openxmlformats.org/markup-compatibility/2006">
      <mc:Choice Requires="x14">
        <control shapeId="9220" r:id="rId6" name="btnAjoutSeqJournal">
          <controlPr defaultSize="0" autoLine="0" r:id="rId7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6" name="btnAjoutSeq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200"/>
      <c r="B10" s="200"/>
      <c r="C10" s="200"/>
      <c r="D10" s="200"/>
      <c r="E10" s="200"/>
      <c r="F10" s="200"/>
      <c r="G10" s="200"/>
      <c r="H10" s="200"/>
      <c r="I10" s="200"/>
      <c r="J10" s="200"/>
      <c r="K10" s="200"/>
      <c r="L10" s="200"/>
      <c r="M10" s="200"/>
      <c r="N10" s="200"/>
      <c r="O10" s="200"/>
      <c r="P10" s="200"/>
      <c r="Q10" s="200"/>
      <c r="R10" s="200"/>
      <c r="S10" s="200"/>
      <c r="T10" s="200"/>
      <c r="U10" s="200"/>
      <c r="V10" s="200"/>
      <c r="W10" s="200"/>
      <c r="X10" s="200"/>
      <c r="Y10" s="200"/>
      <c r="Z10" s="200"/>
      <c r="AA10" s="200"/>
      <c r="AB10" s="200"/>
      <c r="AC10" s="200"/>
      <c r="AD10" s="200"/>
      <c r="AE10" s="200"/>
      <c r="AF10" s="200"/>
      <c r="AG10" s="200"/>
      <c r="AH10" s="200"/>
      <c r="AI10" s="200"/>
      <c r="AJ10" s="200"/>
      <c r="AK10" s="200"/>
      <c r="AL10" s="200"/>
      <c r="AM10" s="200"/>
      <c r="AN10" s="200"/>
      <c r="AO10" s="200"/>
      <c r="AP10" s="200"/>
      <c r="AQ10" s="200"/>
      <c r="AR10" s="200"/>
      <c r="AS10" s="200"/>
      <c r="AT10" s="200"/>
      <c r="AU10" s="200"/>
      <c r="AV10" s="200"/>
      <c r="AW10" s="200"/>
      <c r="AX10" s="200"/>
      <c r="AY10" s="200"/>
      <c r="AZ10" s="200"/>
      <c r="BA10" s="200"/>
      <c r="BB10" s="200"/>
      <c r="BC10" s="200"/>
      <c r="BD10" s="200"/>
      <c r="BE10" s="200"/>
      <c r="BF10" s="200"/>
      <c r="BG10" s="200"/>
      <c r="BH10" s="200"/>
      <c r="BI10" s="90"/>
    </row>
    <row r="11" spans="1:61" ht="18" x14ac:dyDescent="0.25">
      <c r="A11" s="201"/>
      <c r="B11" s="201"/>
      <c r="C11" s="201"/>
      <c r="D11" s="201"/>
      <c r="E11" s="201"/>
      <c r="F11" s="201"/>
      <c r="G11" s="201"/>
      <c r="H11" s="201"/>
      <c r="I11" s="201"/>
      <c r="J11" s="201"/>
      <c r="K11" s="201"/>
      <c r="L11" s="201"/>
      <c r="M11" s="201"/>
      <c r="N11" s="201"/>
      <c r="O11" s="201"/>
      <c r="P11" s="201"/>
      <c r="Q11" s="201"/>
      <c r="R11" s="201"/>
      <c r="S11" s="201"/>
      <c r="T11" s="201"/>
      <c r="U11" s="201"/>
      <c r="V11" s="201"/>
      <c r="W11" s="201"/>
      <c r="X11" s="201"/>
      <c r="Y11" s="201"/>
      <c r="Z11" s="201"/>
      <c r="AA11" s="201"/>
      <c r="AB11" s="201"/>
      <c r="AC11" s="201"/>
      <c r="AD11" s="201"/>
      <c r="AE11" s="201"/>
      <c r="AF11" s="201"/>
      <c r="AG11" s="201"/>
      <c r="AH11" s="201"/>
      <c r="AI11" s="201"/>
      <c r="AJ11" s="201"/>
      <c r="AK11" s="201"/>
      <c r="AL11" s="201"/>
      <c r="AM11" s="201"/>
      <c r="AN11" s="201"/>
      <c r="AO11" s="201"/>
      <c r="AP11" s="201"/>
      <c r="AQ11" s="201"/>
      <c r="AR11" s="201"/>
      <c r="AS11" s="201"/>
      <c r="AT11" s="201"/>
      <c r="AU11" s="201"/>
      <c r="AV11" s="201"/>
      <c r="AW11" s="201"/>
      <c r="AX11" s="201"/>
      <c r="AY11" s="201"/>
      <c r="AZ11" s="201"/>
      <c r="BA11" s="201"/>
      <c r="BB11" s="201"/>
      <c r="BC11" s="201"/>
      <c r="BD11" s="201"/>
      <c r="BE11" s="201"/>
      <c r="BF11" s="201"/>
      <c r="BG11" s="201"/>
      <c r="BH11" s="201"/>
      <c r="BI11" s="90"/>
    </row>
    <row r="12" spans="1:61" ht="18.75" thickBot="1" x14ac:dyDescent="0.3">
      <c r="A12" s="202"/>
      <c r="B12" s="202"/>
      <c r="C12" s="202"/>
      <c r="D12" s="202"/>
      <c r="E12" s="202"/>
      <c r="F12" s="202"/>
      <c r="G12" s="202"/>
      <c r="H12" s="202"/>
      <c r="I12" s="202"/>
      <c r="J12" s="202"/>
      <c r="K12" s="202"/>
      <c r="L12" s="202"/>
      <c r="M12" s="202"/>
      <c r="N12" s="202"/>
      <c r="O12" s="202"/>
      <c r="P12" s="202"/>
      <c r="Q12" s="202"/>
      <c r="R12" s="202"/>
      <c r="S12" s="202"/>
      <c r="T12" s="202"/>
      <c r="U12" s="202"/>
      <c r="V12" s="202"/>
      <c r="W12" s="202"/>
      <c r="X12" s="202"/>
      <c r="Y12" s="202"/>
      <c r="Z12" s="202"/>
      <c r="AA12" s="202"/>
      <c r="AB12" s="202"/>
      <c r="AC12" s="202"/>
      <c r="AD12" s="202"/>
      <c r="AE12" s="202"/>
      <c r="AF12" s="202"/>
      <c r="AG12" s="202"/>
      <c r="AH12" s="202"/>
      <c r="AI12" s="202"/>
      <c r="AJ12" s="202"/>
      <c r="AK12" s="202"/>
      <c r="AL12" s="202"/>
      <c r="AM12" s="202"/>
      <c r="AN12" s="202"/>
      <c r="AO12" s="202"/>
      <c r="AP12" s="202"/>
      <c r="AQ12" s="202"/>
      <c r="AR12" s="202"/>
      <c r="AS12" s="202"/>
      <c r="AT12" s="202"/>
      <c r="AU12" s="202"/>
      <c r="AV12" s="202"/>
      <c r="AW12" s="202"/>
      <c r="AX12" s="202"/>
      <c r="AY12" s="202"/>
      <c r="AZ12" s="202"/>
      <c r="BA12" s="202"/>
      <c r="BB12" s="202"/>
      <c r="BC12" s="202"/>
      <c r="BD12" s="202"/>
      <c r="BE12" s="202"/>
      <c r="BF12" s="202"/>
      <c r="BG12" s="202"/>
      <c r="BH12" s="202"/>
      <c r="BI12" s="90"/>
    </row>
    <row r="13" spans="1:61" ht="18.75" thickBot="1" x14ac:dyDescent="0.3">
      <c r="A13" s="184" t="s">
        <v>12</v>
      </c>
      <c r="B13" s="185"/>
      <c r="C13" s="185"/>
      <c r="D13" s="185"/>
      <c r="E13" s="185"/>
      <c r="F13" s="185"/>
      <c r="G13" s="185"/>
      <c r="H13" s="185"/>
      <c r="I13" s="185"/>
      <c r="J13" s="185"/>
      <c r="K13" s="185"/>
      <c r="L13" s="185"/>
      <c r="M13" s="185"/>
      <c r="N13" s="185"/>
      <c r="O13" s="185"/>
      <c r="P13" s="185"/>
      <c r="Q13" s="185"/>
      <c r="R13" s="185"/>
      <c r="S13" s="185"/>
      <c r="T13" s="185"/>
      <c r="U13" s="185"/>
      <c r="V13" s="185"/>
      <c r="W13" s="185"/>
      <c r="X13" s="185"/>
      <c r="Y13" s="185"/>
      <c r="Z13" s="185"/>
      <c r="AA13" s="185"/>
      <c r="AB13" s="185"/>
      <c r="AC13" s="185"/>
      <c r="AD13" s="185"/>
      <c r="AE13" s="185"/>
      <c r="AF13" s="185"/>
      <c r="AG13" s="185"/>
      <c r="AH13" s="185"/>
      <c r="AI13" s="185"/>
      <c r="AJ13" s="185"/>
      <c r="AK13" s="185"/>
      <c r="AL13" s="185"/>
      <c r="AM13" s="185"/>
      <c r="AN13" s="185"/>
      <c r="AO13" s="185"/>
      <c r="AP13" s="185"/>
      <c r="AQ13" s="185"/>
      <c r="AR13" s="185"/>
      <c r="AS13" s="185"/>
      <c r="AT13" s="185"/>
      <c r="AU13" s="185"/>
      <c r="AV13" s="185"/>
      <c r="AW13" s="185"/>
      <c r="AX13" s="185"/>
      <c r="AY13" s="185"/>
      <c r="AZ13" s="185"/>
      <c r="BA13" s="185"/>
      <c r="BB13" s="185"/>
      <c r="BC13" s="185"/>
      <c r="BD13" s="185"/>
      <c r="BE13" s="185"/>
      <c r="BF13" s="185"/>
      <c r="BG13" s="185"/>
      <c r="BH13" s="186"/>
      <c r="BI13" s="90"/>
    </row>
    <row r="14" spans="1:61" ht="15.75" thickBot="1" x14ac:dyDescent="0.35">
      <c r="A14" s="103"/>
      <c r="B14" s="104"/>
      <c r="C14" s="104"/>
      <c r="D14" s="104"/>
      <c r="E14" s="187" t="s">
        <v>32</v>
      </c>
      <c r="F14" s="187"/>
      <c r="G14" s="187"/>
      <c r="H14" s="187"/>
      <c r="I14" s="104"/>
      <c r="J14" s="104"/>
      <c r="K14" s="188" t="s">
        <v>22</v>
      </c>
      <c r="L14" s="188"/>
      <c r="M14" s="188"/>
      <c r="N14" s="188"/>
      <c r="O14" s="129"/>
      <c r="P14" s="129"/>
      <c r="Q14" s="187" t="s">
        <v>33</v>
      </c>
      <c r="R14" s="187"/>
      <c r="S14" s="187"/>
      <c r="T14" s="187"/>
      <c r="U14" s="104"/>
      <c r="V14" s="104"/>
      <c r="W14" s="188" t="s">
        <v>23</v>
      </c>
      <c r="X14" s="188"/>
      <c r="Y14" s="188"/>
      <c r="Z14" s="188"/>
      <c r="AA14" s="129"/>
      <c r="AB14" s="129"/>
      <c r="AC14" s="187" t="s">
        <v>34</v>
      </c>
      <c r="AD14" s="187"/>
      <c r="AE14" s="187"/>
      <c r="AF14" s="187"/>
      <c r="AG14" s="104"/>
      <c r="AH14" s="104"/>
      <c r="AI14" s="188" t="s">
        <v>24</v>
      </c>
      <c r="AJ14" s="188"/>
      <c r="AK14" s="188"/>
      <c r="AL14" s="188"/>
      <c r="AM14" s="129"/>
      <c r="AN14" s="129"/>
      <c r="AO14" s="187" t="s">
        <v>35</v>
      </c>
      <c r="AP14" s="187"/>
      <c r="AQ14" s="187"/>
      <c r="AR14" s="187"/>
      <c r="AS14" s="104"/>
      <c r="AT14" s="104"/>
      <c r="AU14" s="188" t="s">
        <v>25</v>
      </c>
      <c r="AV14" s="188"/>
      <c r="AW14" s="188"/>
      <c r="AX14" s="188"/>
      <c r="AY14" s="129"/>
      <c r="AZ14" s="129"/>
      <c r="BA14" s="187" t="s">
        <v>36</v>
      </c>
      <c r="BB14" s="187"/>
      <c r="BC14" s="187"/>
      <c r="BD14" s="187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12</v>
      </c>
      <c r="B1" s="163">
        <v>1</v>
      </c>
      <c r="C1" s="163"/>
      <c r="D1" s="82" t="s">
        <v>15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0" t="s">
        <v>38</v>
      </c>
      <c r="C2" s="151"/>
      <c r="D2" s="80" t="s">
        <v>13</v>
      </c>
      <c r="E2" s="228" t="s">
        <v>14</v>
      </c>
      <c r="F2" s="229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24"/>
      <c r="F3" s="225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16"/>
      <c r="F4" s="217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16"/>
      <c r="F5" s="217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16"/>
      <c r="F6" s="217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16"/>
      <c r="F7" s="217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16"/>
      <c r="F8" s="217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16"/>
      <c r="F9" s="217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18"/>
      <c r="F10" s="219"/>
      <c r="G10" s="51"/>
    </row>
    <row r="11" spans="1:7" s="52" customFormat="1" ht="15" thickBot="1" x14ac:dyDescent="0.35">
      <c r="A11" s="111" t="s">
        <v>27</v>
      </c>
      <c r="B11" s="84">
        <f>SUM(B3:B10)</f>
        <v>0</v>
      </c>
      <c r="C11" s="111" t="str">
        <f xml:space="preserve"> setValueToTime(B11)</f>
        <v>0h</v>
      </c>
      <c r="D11" s="120"/>
      <c r="E11" s="226"/>
      <c r="F11" s="227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2:F2"/>
    <mergeCell ref="E5:F5"/>
    <mergeCell ref="E6:F6"/>
    <mergeCell ref="E7:F7"/>
    <mergeCell ref="E8:F8"/>
    <mergeCell ref="E9:F9"/>
    <mergeCell ref="E10:F10"/>
    <mergeCell ref="E11:F11"/>
    <mergeCell ref="E3:F3"/>
    <mergeCell ref="E4:F4"/>
  </mergeCells>
  <conditionalFormatting sqref="B11">
    <cfRule type="cellIs" dxfId="2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6" t="s">
        <v>12</v>
      </c>
      <c r="B1" s="164">
        <v>1</v>
      </c>
      <c r="C1" s="164"/>
      <c r="D1" s="157" t="s">
        <v>15</v>
      </c>
      <c r="E1" s="158"/>
      <c r="F1" s="159"/>
      <c r="G1" s="46"/>
    </row>
    <row r="2" spans="1:7" s="47" customFormat="1" ht="30" customHeight="1" thickBot="1" x14ac:dyDescent="0.3">
      <c r="A2" s="78" t="s">
        <v>5</v>
      </c>
      <c r="B2" s="161" t="s">
        <v>38</v>
      </c>
      <c r="C2" s="160"/>
      <c r="D2" s="78" t="s">
        <v>13</v>
      </c>
      <c r="E2" s="222" t="s">
        <v>14</v>
      </c>
      <c r="F2" s="223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24"/>
      <c r="F3" s="225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16"/>
      <c r="F4" s="217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16"/>
      <c r="F5" s="217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16"/>
      <c r="F6" s="217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16"/>
      <c r="F7" s="217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16"/>
      <c r="F8" s="217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16"/>
      <c r="F9" s="217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18"/>
      <c r="F10" s="219"/>
      <c r="G10" s="51"/>
    </row>
    <row r="11" spans="1:7" s="52" customFormat="1" ht="15" thickBot="1" x14ac:dyDescent="0.35">
      <c r="A11" s="162" t="s">
        <v>27</v>
      </c>
      <c r="B11" s="83">
        <f>SUM(B3:B10)</f>
        <v>0</v>
      </c>
      <c r="C11" s="162" t="str">
        <f xml:space="preserve"> setValueToTime(B11)</f>
        <v>0h</v>
      </c>
      <c r="D11" s="121"/>
      <c r="E11" s="220"/>
      <c r="F11" s="221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13" ma:contentTypeDescription="Crée un document." ma:contentTypeScope="" ma:versionID="a2a625e4713a1206e22a4c67b5bce77a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44987950040cbf76ec9c25f294fcc9dd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18FA07E3-48F7-4741-BFD5-F28CA9491C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13B46EC-8722-4905-ACD6-4871A675522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EF8A5FE-70ED-419D-A655-40044EB0B08E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Joël Pittet</dc:creator>
  <cp:lastModifiedBy>Joël Pittet</cp:lastModifiedBy>
  <cp:lastPrinted>2019-05-08T10:31:53Z</cp:lastPrinted>
  <dcterms:created xsi:type="dcterms:W3CDTF">1996-10-21T11:03:58Z</dcterms:created>
  <dcterms:modified xsi:type="dcterms:W3CDTF">2024-01-11T12:35:23Z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